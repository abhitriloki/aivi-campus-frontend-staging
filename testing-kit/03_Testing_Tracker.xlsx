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 Cases" sheetId="1" state="visible" r:id="rId1"/>
    <sheet xmlns:r="http://schemas.openxmlformats.org/officeDocument/2006/relationships" name="Security Test Cases" sheetId="2" state="visible" r:id="rId2"/>
    <sheet xmlns:r="http://schemas.openxmlformats.org/officeDocument/2006/relationships" name="Bug Tracker" sheetId="3" state="visible" r:id="rId3"/>
    <sheet xmlns:r="http://schemas.openxmlformats.org/officeDocument/2006/relationships" name="Daily Log" sheetId="4" state="visible" r:id="rId4"/>
    <sheet xmlns:r="http://schemas.openxmlformats.org/officeDocument/2006/relationships" name="Sign-Off Dashboard" sheetId="5" state="visible" r:id="rId5"/>
  </sheets>
  <definedNames>
    <definedName name="_xlnm._FilterDatabase" localSheetId="0" hidden="1">'Functional Test Cases'!$A$1:$M$74</definedName>
    <definedName name="_xlnm._FilterDatabase" localSheetId="1" hidden="1">'Security Test Cases'!$A$1:$M$39</definedName>
    <definedName name="_xlnm._FilterDatabase" localSheetId="2" hidden="1">'Bug Tracker'!$A$1:$S$101</definedName>
    <definedName name="_xlnm._FilterDatabase" localSheetId="3" hidden="1">'Daily Log'!$A$1:$J$91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FFFFFF"/>
      <sz val="16"/>
    </font>
    <font>
      <name val="Arial"/>
      <b val="1"/>
      <color rgb="0017365D"/>
      <sz val="13"/>
    </font>
    <font>
      <name val="Arial"/>
      <b val="1"/>
    </font>
    <font>
      <name val="Arial"/>
      <b val="1"/>
      <color rgb="0017365D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BFE"/>
      </patternFill>
    </fill>
    <fill>
      <patternFill patternType="solid">
        <fgColor rgb="00FFFFFF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5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164" fontId="6" fillId="3" borderId="0" applyAlignment="1" pivotButton="0" quotePrefix="0" xfId="0">
      <alignment horizontal="center"/>
    </xf>
  </cellXfs>
  <cellStyles count="1">
    <cellStyle name="Normal" xfId="0" builtinId="0" hidden="0"/>
  </cellStyles>
  <dxfs count="10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D9D9D9"/>
        </patternFill>
      </fill>
    </dxf>
    <dxf>
      <font>
        <b val="1"/>
        <color rgb="00FFFFFF"/>
      </font>
      <fill>
        <patternFill patternType="solid">
          <fgColor rgb="009C0006"/>
        </patternFill>
      </fill>
    </dxf>
    <dxf>
      <font>
        <color rgb="00000000"/>
      </font>
      <fill>
        <patternFill patternType="solid">
          <fgColor rgb="00F4B183"/>
        </patternFill>
      </fill>
    </dxf>
    <dxf>
      <font>
        <color rgb="00000000"/>
      </font>
      <fill>
        <patternFill patternType="solid">
          <fgColor rgb="00FFF2CC"/>
        </patternFill>
      </fill>
    </dxf>
    <dxf>
      <font>
        <color rgb="000000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32" customWidth="1" min="4" max="4"/>
    <col width="44" customWidth="1" min="5" max="5"/>
    <col width="44" customWidth="1" min="6" max="6"/>
    <col width="28" customWidth="1" min="7" max="7"/>
    <col width="14" customWidth="1" min="8" max="8"/>
    <col width="14" customWidth="1" min="9" max="9"/>
    <col width="18" customWidth="1" min="10" max="10"/>
    <col width="16" customWidth="1" min="11" max="11"/>
    <col width="26" customWidth="1" min="12" max="12"/>
    <col width="28" customWidth="1" min="13" max="13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Pre-conditions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Tester Name</t>
        </is>
      </c>
      <c r="K1" s="1" t="inlineStr">
        <is>
          <t>Date Tested</t>
        </is>
      </c>
      <c r="L1" s="1" t="inlineStr">
        <is>
          <t>Screenshot/Video Link</t>
        </is>
      </c>
      <c r="M1" s="1" t="inlineStr">
        <is>
          <t>Notes</t>
        </is>
      </c>
    </row>
    <row r="2">
      <c r="A2" s="2" t="inlineStr">
        <is>
          <t>FT-001</t>
        </is>
      </c>
      <c r="B2" s="2" t="inlineStr">
        <is>
          <t>Public Site</t>
        </is>
      </c>
      <c r="C2" s="2" t="inlineStr">
        <is>
          <t>Landing page loads</t>
        </is>
      </c>
      <c r="D2" s="2" t="inlineStr">
        <is>
          <t>Route/endpoint available: /</t>
        </is>
      </c>
      <c r="E2" s="2" t="inlineStr">
        <is>
          <t>Open / on desktop and mobile</t>
        </is>
      </c>
      <c r="F2" s="2" t="inlineStr">
        <is>
          <t>Hero, navigation, pricing/CTA, footer, and no console errors.</t>
        </is>
      </c>
      <c r="G2" s="2" t="inlineStr"/>
      <c r="H2" s="2" t="inlineStr"/>
      <c r="I2" s="2" t="inlineStr">
        <is>
          <t>Medium</t>
        </is>
      </c>
      <c r="J2" s="2" t="inlineStr"/>
      <c r="K2" s="2" t="inlineStr"/>
      <c r="L2" s="2" t="inlineStr"/>
      <c r="M2" s="2" t="inlineStr"/>
    </row>
    <row r="3">
      <c r="A3" s="3" t="inlineStr">
        <is>
          <t>FT-002</t>
        </is>
      </c>
      <c r="B3" s="3" t="inlineStr">
        <is>
          <t>Public Site</t>
        </is>
      </c>
      <c r="C3" s="3" t="inlineStr">
        <is>
          <t>Global header navigation</t>
        </is>
      </c>
      <c r="D3" s="3" t="inlineStr">
        <is>
          <t>Route/endpoint available: /</t>
        </is>
      </c>
      <c r="E3" s="3" t="inlineStr">
        <is>
          <t>Click Product, AI Tools, public route links</t>
        </is>
      </c>
      <c r="F3" s="3" t="inlineStr">
        <is>
          <t>Each menu item opens the correct route.</t>
        </is>
      </c>
      <c r="G3" s="3" t="inlineStr"/>
      <c r="H3" s="3" t="inlineStr"/>
      <c r="I3" s="3" t="inlineStr">
        <is>
          <t>Medium</t>
        </is>
      </c>
      <c r="J3" s="3" t="inlineStr"/>
      <c r="K3" s="3" t="inlineStr"/>
      <c r="L3" s="3" t="inlineStr"/>
      <c r="M3" s="3" t="inlineStr"/>
    </row>
    <row r="4">
      <c r="A4" s="2" t="inlineStr">
        <is>
          <t>FT-003</t>
        </is>
      </c>
      <c r="B4" s="2" t="inlineStr">
        <is>
          <t>Public Site</t>
        </is>
      </c>
      <c r="C4" s="2" t="inlineStr">
        <is>
          <t>Mobile menu</t>
        </is>
      </c>
      <c r="D4" s="2" t="inlineStr">
        <is>
          <t>Route/endpoint available: /</t>
        </is>
      </c>
      <c r="E4" s="2" t="inlineStr">
        <is>
          <t>Resize to mobile and open menu</t>
        </is>
      </c>
      <c r="F4" s="2" t="inlineStr">
        <is>
          <t>Menu opens, nested links work, no overlap.</t>
        </is>
      </c>
      <c r="G4" s="2" t="inlineStr"/>
      <c r="H4" s="2" t="inlineStr"/>
      <c r="I4" s="2" t="inlineStr">
        <is>
          <t>Medium</t>
        </is>
      </c>
      <c r="J4" s="2" t="inlineStr"/>
      <c r="K4" s="2" t="inlineStr"/>
      <c r="L4" s="2" t="inlineStr"/>
      <c r="M4" s="2" t="inlineStr"/>
    </row>
    <row r="5">
      <c r="A5" s="3" t="inlineStr">
        <is>
          <t>FT-004</t>
        </is>
      </c>
      <c r="B5" s="3" t="inlineStr">
        <is>
          <t>Public Site</t>
        </is>
      </c>
      <c r="C5" s="3" t="inlineStr">
        <is>
          <t>Footer links</t>
        </is>
      </c>
      <c r="D5" s="3" t="inlineStr">
        <is>
          <t>Route/endpoint available: /</t>
        </is>
      </c>
      <c r="E5" s="3" t="inlineStr">
        <is>
          <t>Click footer routes</t>
        </is>
      </c>
      <c r="F5" s="3" t="inlineStr">
        <is>
          <t>Each footer link routes correctly.</t>
        </is>
      </c>
      <c r="G5" s="3" t="inlineStr"/>
      <c r="H5" s="3" t="inlineStr"/>
      <c r="I5" s="3" t="inlineStr">
        <is>
          <t>Medium</t>
        </is>
      </c>
      <c r="J5" s="3" t="inlineStr"/>
      <c r="K5" s="3" t="inlineStr"/>
      <c r="L5" s="3" t="inlineStr"/>
      <c r="M5" s="3" t="inlineStr"/>
    </row>
    <row r="6">
      <c r="A6" s="2" t="inlineStr">
        <is>
          <t>FT-005</t>
        </is>
      </c>
      <c r="B6" s="2" t="inlineStr">
        <is>
          <t>Public Site</t>
        </is>
      </c>
      <c r="C6" s="2" t="inlineStr">
        <is>
          <t>Cookie consent</t>
        </is>
      </c>
      <c r="D6" s="2" t="inlineStr">
        <is>
          <t>Route/endpoint available: /</t>
        </is>
      </c>
      <c r="E6" s="2" t="inlineStr">
        <is>
          <t>Accept and decline cookie banner</t>
        </is>
      </c>
      <c r="F6" s="2" t="inlineStr">
        <is>
          <t>Choice persists and banner hides.</t>
        </is>
      </c>
      <c r="G6" s="2" t="inlineStr"/>
      <c r="H6" s="2" t="inlineStr"/>
      <c r="I6" s="2" t="inlineStr">
        <is>
          <t>Medium</t>
        </is>
      </c>
      <c r="J6" s="2" t="inlineStr"/>
      <c r="K6" s="2" t="inlineStr"/>
      <c r="L6" s="2" t="inlineStr"/>
      <c r="M6" s="2" t="inlineStr"/>
    </row>
    <row r="7">
      <c r="A7" s="3" t="inlineStr">
        <is>
          <t>FT-006</t>
        </is>
      </c>
      <c r="B7" s="3" t="inlineStr">
        <is>
          <t>Public Site</t>
        </is>
      </c>
      <c r="C7" s="3" t="inlineStr">
        <is>
          <t>About page</t>
        </is>
      </c>
      <c r="D7" s="3" t="inlineStr">
        <is>
          <t>Route/endpoint available: /about</t>
        </is>
      </c>
      <c r="E7" s="3" t="inlineStr">
        <is>
          <t>Open route and refresh</t>
        </is>
      </c>
      <c r="F7" s="3" t="inlineStr">
        <is>
          <t>Content renders and direct refresh works.</t>
        </is>
      </c>
      <c r="G7" s="3" t="inlineStr"/>
      <c r="H7" s="3" t="inlineStr"/>
      <c r="I7" s="3" t="inlineStr">
        <is>
          <t>Medium</t>
        </is>
      </c>
      <c r="J7" s="3" t="inlineStr"/>
      <c r="K7" s="3" t="inlineStr"/>
      <c r="L7" s="3" t="inlineStr"/>
      <c r="M7" s="3" t="inlineStr"/>
    </row>
    <row r="8">
      <c r="A8" s="2" t="inlineStr">
        <is>
          <t>FT-007</t>
        </is>
      </c>
      <c r="B8" s="2" t="inlineStr">
        <is>
          <t>Public Site</t>
        </is>
      </c>
      <c r="C8" s="2" t="inlineStr">
        <is>
          <t>How It Works page</t>
        </is>
      </c>
      <c r="D8" s="2" t="inlineStr">
        <is>
          <t>Route/endpoint available: /how-it-works</t>
        </is>
      </c>
      <c r="E8" s="2" t="inlineStr">
        <is>
          <t>Open route and refresh</t>
        </is>
      </c>
      <c r="F8" s="2" t="inlineStr">
        <is>
          <t>Workflow content renders.</t>
        </is>
      </c>
      <c r="G8" s="2" t="inlineStr"/>
      <c r="H8" s="2" t="inlineStr"/>
      <c r="I8" s="2" t="inlineStr">
        <is>
          <t>Medium</t>
        </is>
      </c>
      <c r="J8" s="2" t="inlineStr"/>
      <c r="K8" s="2" t="inlineStr"/>
      <c r="L8" s="2" t="inlineStr"/>
      <c r="M8" s="2" t="inlineStr"/>
    </row>
    <row r="9">
      <c r="A9" s="3" t="inlineStr">
        <is>
          <t>FT-008</t>
        </is>
      </c>
      <c r="B9" s="3" t="inlineStr">
        <is>
          <t>Public Site</t>
        </is>
      </c>
      <c r="C9" s="3" t="inlineStr">
        <is>
          <t>What Is AIVI page</t>
        </is>
      </c>
      <c r="D9" s="3" t="inlineStr">
        <is>
          <t>Route/endpoint available: /what-is-aivi</t>
        </is>
      </c>
      <c r="E9" s="3" t="inlineStr">
        <is>
          <t>Open route and refresh</t>
        </is>
      </c>
      <c r="F9" s="3" t="inlineStr">
        <is>
          <t>Explainer content renders.</t>
        </is>
      </c>
      <c r="G9" s="3" t="inlineStr"/>
      <c r="H9" s="3" t="inlineStr"/>
      <c r="I9" s="3" t="inlineStr">
        <is>
          <t>Medium</t>
        </is>
      </c>
      <c r="J9" s="3" t="inlineStr"/>
      <c r="K9" s="3" t="inlineStr"/>
      <c r="L9" s="3" t="inlineStr"/>
      <c r="M9" s="3" t="inlineStr"/>
    </row>
    <row r="10">
      <c r="A10" s="2" t="inlineStr">
        <is>
          <t>FT-009</t>
        </is>
      </c>
      <c r="B10" s="2" t="inlineStr">
        <is>
          <t>Public Site</t>
        </is>
      </c>
      <c r="C10" s="2" t="inlineStr">
        <is>
          <t>AI Resume Builder public page</t>
        </is>
      </c>
      <c r="D10" s="2" t="inlineStr">
        <is>
          <t>Route/endpoint available: /ai-resume-builder</t>
        </is>
      </c>
      <c r="E10" s="2" t="inlineStr">
        <is>
          <t>Open route and click CTA</t>
        </is>
      </c>
      <c r="F10" s="2" t="inlineStr">
        <is>
          <t>CTA leads to auth/dashboard path.</t>
        </is>
      </c>
      <c r="G10" s="2" t="inlineStr"/>
      <c r="H10" s="2" t="inlineStr"/>
      <c r="I10" s="2" t="inlineStr">
        <is>
          <t>Medium</t>
        </is>
      </c>
      <c r="J10" s="2" t="inlineStr"/>
      <c r="K10" s="2" t="inlineStr"/>
      <c r="L10" s="2" t="inlineStr"/>
      <c r="M10" s="2" t="inlineStr"/>
    </row>
    <row r="11">
      <c r="A11" s="3" t="inlineStr">
        <is>
          <t>FT-010</t>
        </is>
      </c>
      <c r="B11" s="3" t="inlineStr">
        <is>
          <t>Public Site</t>
        </is>
      </c>
      <c r="C11" s="3" t="inlineStr">
        <is>
          <t>LinkedIn Optimization page</t>
        </is>
      </c>
      <c r="D11" s="3" t="inlineStr">
        <is>
          <t>Route/endpoint available: /linkedin-optimization</t>
        </is>
      </c>
      <c r="E11" s="3" t="inlineStr">
        <is>
          <t>Open route and click CTA</t>
        </is>
      </c>
      <c r="F11" s="3" t="inlineStr">
        <is>
          <t>CTA works without JS errors.</t>
        </is>
      </c>
      <c r="G11" s="3" t="inlineStr"/>
      <c r="H11" s="3" t="inlineStr"/>
      <c r="I11" s="3" t="inlineStr">
        <is>
          <t>Medium</t>
        </is>
      </c>
      <c r="J11" s="3" t="inlineStr"/>
      <c r="K11" s="3" t="inlineStr"/>
      <c r="L11" s="3" t="inlineStr"/>
      <c r="M11" s="3" t="inlineStr"/>
    </row>
    <row r="12">
      <c r="A12" s="2" t="inlineStr">
        <is>
          <t>FT-011</t>
        </is>
      </c>
      <c r="B12" s="2" t="inlineStr">
        <is>
          <t>Public Site</t>
        </is>
      </c>
      <c r="C12" s="2" t="inlineStr">
        <is>
          <t>SEO fresher page</t>
        </is>
      </c>
      <c r="D12" s="2" t="inlineStr">
        <is>
          <t>Route/endpoint available: /ai-resume-builder-for-freshers</t>
        </is>
      </c>
      <c r="E12" s="2" t="inlineStr">
        <is>
          <t>Open route</t>
        </is>
      </c>
      <c r="F12" s="2" t="inlineStr">
        <is>
          <t>Fresher page content renders.</t>
        </is>
      </c>
      <c r="G12" s="2" t="inlineStr"/>
      <c r="H12" s="2" t="inlineStr"/>
      <c r="I12" s="2" t="inlineStr">
        <is>
          <t>Medium</t>
        </is>
      </c>
      <c r="J12" s="2" t="inlineStr"/>
      <c r="K12" s="2" t="inlineStr"/>
      <c r="L12" s="2" t="inlineStr"/>
      <c r="M12" s="2" t="inlineStr"/>
    </row>
    <row r="13">
      <c r="A13" s="3" t="inlineStr">
        <is>
          <t>FT-012</t>
        </is>
      </c>
      <c r="B13" s="3" t="inlineStr">
        <is>
          <t>Public Site</t>
        </is>
      </c>
      <c r="C13" s="3" t="inlineStr">
        <is>
          <t>Resume Scoring SEO page</t>
        </is>
      </c>
      <c r="D13" s="3" t="inlineStr">
        <is>
          <t>Route/endpoint available: /resume-scoring-software</t>
        </is>
      </c>
      <c r="E13" s="3" t="inlineStr">
        <is>
          <t>Open route</t>
        </is>
      </c>
      <c r="F13" s="3" t="inlineStr">
        <is>
          <t>Page renders and CTA works.</t>
        </is>
      </c>
      <c r="G13" s="3" t="inlineStr"/>
      <c r="H13" s="3" t="inlineStr"/>
      <c r="I13" s="3" t="inlineStr">
        <is>
          <t>Medium</t>
        </is>
      </c>
      <c r="J13" s="3" t="inlineStr"/>
      <c r="K13" s="3" t="inlineStr"/>
      <c r="L13" s="3" t="inlineStr"/>
      <c r="M13" s="3" t="inlineStr"/>
    </row>
    <row r="14">
      <c r="A14" s="2" t="inlineStr">
        <is>
          <t>FT-013</t>
        </is>
      </c>
      <c r="B14" s="2" t="inlineStr">
        <is>
          <t>Public Site</t>
        </is>
      </c>
      <c r="C14" s="2" t="inlineStr">
        <is>
          <t>Job Fit Tool SEO page</t>
        </is>
      </c>
      <c r="D14" s="2" t="inlineStr">
        <is>
          <t>Route/endpoint available: /job-fit-analysis-tool</t>
        </is>
      </c>
      <c r="E14" s="2" t="inlineStr">
        <is>
          <t>Open route</t>
        </is>
      </c>
      <c r="F14" s="2" t="inlineStr">
        <is>
          <t>Page renders and CTA works.</t>
        </is>
      </c>
      <c r="G14" s="2" t="inlineStr"/>
      <c r="H14" s="2" t="inlineStr"/>
      <c r="I14" s="2" t="inlineStr">
        <is>
          <t>Medium</t>
        </is>
      </c>
      <c r="J14" s="2" t="inlineStr"/>
      <c r="K14" s="2" t="inlineStr"/>
      <c r="L14" s="2" t="inlineStr"/>
      <c r="M14" s="2" t="inlineStr"/>
    </row>
    <row r="15">
      <c r="A15" s="3" t="inlineStr">
        <is>
          <t>FT-014</t>
        </is>
      </c>
      <c r="B15" s="3" t="inlineStr">
        <is>
          <t>Public Site</t>
        </is>
      </c>
      <c r="C15" s="3" t="inlineStr">
        <is>
          <t>Career Gap SEO page</t>
        </is>
      </c>
      <c r="D15" s="3" t="inlineStr">
        <is>
          <t>Route/endpoint available: /career-gap-analysis-ai</t>
        </is>
      </c>
      <c r="E15" s="3" t="inlineStr">
        <is>
          <t>Open route</t>
        </is>
      </c>
      <c r="F15" s="3" t="inlineStr">
        <is>
          <t>Page renders and CTA works.</t>
        </is>
      </c>
      <c r="G15" s="3" t="inlineStr"/>
      <c r="H15" s="3" t="inlineStr"/>
      <c r="I15" s="3" t="inlineStr">
        <is>
          <t>Medium</t>
        </is>
      </c>
      <c r="J15" s="3" t="inlineStr"/>
      <c r="K15" s="3" t="inlineStr"/>
      <c r="L15" s="3" t="inlineStr"/>
      <c r="M15" s="3" t="inlineStr"/>
    </row>
    <row r="16">
      <c r="A16" s="2" t="inlineStr">
        <is>
          <t>FT-015</t>
        </is>
      </c>
      <c r="B16" s="2" t="inlineStr">
        <is>
          <t>Public Site</t>
        </is>
      </c>
      <c r="C16" s="2" t="inlineStr">
        <is>
          <t>AI vs tools page</t>
        </is>
      </c>
      <c r="D16" s="2" t="inlineStr">
        <is>
          <t>Route/endpoint available: /ai-vs-chatgpt-vs-gemini</t>
        </is>
      </c>
      <c r="E16" s="2" t="inlineStr">
        <is>
          <t>Open route</t>
        </is>
      </c>
      <c r="F16" s="2" t="inlineStr">
        <is>
          <t>Page renders and comparison content is visible.</t>
        </is>
      </c>
      <c r="G16" s="2" t="inlineStr"/>
      <c r="H16" s="2" t="inlineStr"/>
      <c r="I16" s="2" t="inlineStr">
        <is>
          <t>Medium</t>
        </is>
      </c>
      <c r="J16" s="2" t="inlineStr"/>
      <c r="K16" s="2" t="inlineStr"/>
      <c r="L16" s="2" t="inlineStr"/>
      <c r="M16" s="2" t="inlineStr"/>
    </row>
    <row r="17">
      <c r="A17" s="3" t="inlineStr">
        <is>
          <t>FT-016</t>
        </is>
      </c>
      <c r="B17" s="3" t="inlineStr">
        <is>
          <t>Contact</t>
        </is>
      </c>
      <c r="C17" s="3" t="inlineStr">
        <is>
          <t>Contact validation</t>
        </is>
      </c>
      <c r="D17" s="3" t="inlineStr">
        <is>
          <t>Route/endpoint available: /contact</t>
        </is>
      </c>
      <c r="E17" s="3" t="inlineStr">
        <is>
          <t>Submit empty fields</t>
        </is>
      </c>
      <c r="F17" s="3" t="inlineStr">
        <is>
          <t>Validation prevents submission.</t>
        </is>
      </c>
      <c r="G17" s="3" t="inlineStr"/>
      <c r="H17" s="3" t="inlineStr"/>
      <c r="I17" s="3" t="inlineStr">
        <is>
          <t>Medium</t>
        </is>
      </c>
      <c r="J17" s="3" t="inlineStr"/>
      <c r="K17" s="3" t="inlineStr"/>
      <c r="L17" s="3" t="inlineStr"/>
      <c r="M17" s="3" t="inlineStr"/>
    </row>
    <row r="18">
      <c r="A18" s="2" t="inlineStr">
        <is>
          <t>FT-017</t>
        </is>
      </c>
      <c r="B18" s="2" t="inlineStr">
        <is>
          <t>Contact</t>
        </is>
      </c>
      <c r="C18" s="2" t="inlineStr">
        <is>
          <t>Contact submission</t>
        </is>
      </c>
      <c r="D18" s="2" t="inlineStr">
        <is>
          <t>Route/endpoint available: /contact</t>
        </is>
      </c>
      <c r="E18" s="2" t="inlineStr">
        <is>
          <t>Fill valid name, email, subject, message and submit</t>
        </is>
      </c>
      <c r="F18" s="2" t="inlineStr">
        <is>
          <t>submitContactForm succeeds and success toast appears.</t>
        </is>
      </c>
      <c r="G18" s="2" t="inlineStr"/>
      <c r="H18" s="2" t="inlineStr"/>
      <c r="I18" s="2" t="inlineStr">
        <is>
          <t>Medium</t>
        </is>
      </c>
      <c r="J18" s="2" t="inlineStr"/>
      <c r="K18" s="2" t="inlineStr"/>
      <c r="L18" s="2" t="inlineStr"/>
      <c r="M18" s="2" t="inlineStr"/>
    </row>
    <row r="19">
      <c r="A19" s="3" t="inlineStr">
        <is>
          <t>FT-018</t>
        </is>
      </c>
      <c r="B19" s="3" t="inlineStr">
        <is>
          <t>Auth</t>
        </is>
      </c>
      <c r="C19" s="3" t="inlineStr">
        <is>
          <t>Email signup</t>
        </is>
      </c>
      <c r="D19" s="3" t="inlineStr">
        <is>
          <t>Route/endpoint available: /auth</t>
        </is>
      </c>
      <c r="E19" s="3" t="inlineStr">
        <is>
          <t>Create account with full name, email, password</t>
        </is>
      </c>
      <c r="F19" s="3" t="inlineStr">
        <is>
          <t>Account created, verification email sent, user navigates to verify page.</t>
        </is>
      </c>
      <c r="G19" s="3" t="inlineStr"/>
      <c r="H19" s="3" t="inlineStr"/>
      <c r="I19" s="3" t="inlineStr">
        <is>
          <t>Medium</t>
        </is>
      </c>
      <c r="J19" s="3" t="inlineStr"/>
      <c r="K19" s="3" t="inlineStr"/>
      <c r="L19" s="3" t="inlineStr"/>
      <c r="M19" s="3" t="inlineStr"/>
    </row>
    <row r="20">
      <c r="A20" s="2" t="inlineStr">
        <is>
          <t>FT-019</t>
        </is>
      </c>
      <c r="B20" s="2" t="inlineStr">
        <is>
          <t>Auth</t>
        </is>
      </c>
      <c r="C20" s="2" t="inlineStr">
        <is>
          <t>Email login verified user</t>
        </is>
      </c>
      <c r="D20" s="2" t="inlineStr">
        <is>
          <t>Route/endpoint available: /auth</t>
        </is>
      </c>
      <c r="E20" s="2" t="inlineStr">
        <is>
          <t>Login with verified account</t>
        </is>
      </c>
      <c r="F20" s="2" t="inlineStr">
        <is>
          <t>User lands on /dashboard.</t>
        </is>
      </c>
      <c r="G20" s="2" t="inlineStr"/>
      <c r="H20" s="2" t="inlineStr"/>
      <c r="I20" s="2" t="inlineStr">
        <is>
          <t>Medium</t>
        </is>
      </c>
      <c r="J20" s="2" t="inlineStr"/>
      <c r="K20" s="2" t="inlineStr"/>
      <c r="L20" s="2" t="inlineStr"/>
      <c r="M20" s="2" t="inlineStr"/>
    </row>
    <row r="21">
      <c r="A21" s="3" t="inlineStr">
        <is>
          <t>FT-020</t>
        </is>
      </c>
      <c r="B21" s="3" t="inlineStr">
        <is>
          <t>Auth</t>
        </is>
      </c>
      <c r="C21" s="3" t="inlineStr">
        <is>
          <t>Unverified user blocked</t>
        </is>
      </c>
      <c r="D21" s="3" t="inlineStr">
        <is>
          <t>Route/endpoint available: /auth</t>
        </is>
      </c>
      <c r="E21" s="3" t="inlineStr">
        <is>
          <t>Login with unverified email</t>
        </is>
      </c>
      <c r="F21" s="3" t="inlineStr">
        <is>
          <t>User is sent to /verify-email and dashboard is blocked.</t>
        </is>
      </c>
      <c r="G21" s="3" t="inlineStr"/>
      <c r="H21" s="3" t="inlineStr"/>
      <c r="I21" s="3" t="inlineStr">
        <is>
          <t>Medium</t>
        </is>
      </c>
      <c r="J21" s="3" t="inlineStr"/>
      <c r="K21" s="3" t="inlineStr"/>
      <c r="L21" s="3" t="inlineStr"/>
      <c r="M21" s="3" t="inlineStr"/>
    </row>
    <row r="22">
      <c r="A22" s="2" t="inlineStr">
        <is>
          <t>FT-021</t>
        </is>
      </c>
      <c r="B22" s="2" t="inlineStr">
        <is>
          <t>Auth</t>
        </is>
      </c>
      <c r="C22" s="2" t="inlineStr">
        <is>
          <t>Google login</t>
        </is>
      </c>
      <c r="D22" s="2" t="inlineStr">
        <is>
          <t>Route/endpoint available: /auth</t>
        </is>
      </c>
      <c r="E22" s="2" t="inlineStr">
        <is>
          <t>Click Google</t>
        </is>
      </c>
      <c r="F22" s="2" t="inlineStr">
        <is>
          <t>Google popup completes and verified user reaches dashboard.</t>
        </is>
      </c>
      <c r="G22" s="2" t="inlineStr"/>
      <c r="H22" s="2" t="inlineStr"/>
      <c r="I22" s="2" t="inlineStr">
        <is>
          <t>Medium</t>
        </is>
      </c>
      <c r="J22" s="2" t="inlineStr"/>
      <c r="K22" s="2" t="inlineStr"/>
      <c r="L22" s="2" t="inlineStr"/>
      <c r="M22" s="2" t="inlineStr"/>
    </row>
    <row r="23">
      <c r="A23" s="3" t="inlineStr">
        <is>
          <t>FT-022</t>
        </is>
      </c>
      <c r="B23" s="3" t="inlineStr">
        <is>
          <t>Auth</t>
        </is>
      </c>
      <c r="C23" s="3" t="inlineStr">
        <is>
          <t>Forgot password</t>
        </is>
      </c>
      <c r="D23" s="3" t="inlineStr">
        <is>
          <t>Route/endpoint available: /auth</t>
        </is>
      </c>
      <c r="E23" s="3" t="inlineStr">
        <is>
          <t>Enter email and click Forgot password</t>
        </is>
      </c>
      <c r="F23" s="3" t="inlineStr">
        <is>
          <t>Password reset email request succeeds.</t>
        </is>
      </c>
      <c r="G23" s="3" t="inlineStr"/>
      <c r="H23" s="3" t="inlineStr"/>
      <c r="I23" s="3" t="inlineStr">
        <is>
          <t>Medium</t>
        </is>
      </c>
      <c r="J23" s="3" t="inlineStr"/>
      <c r="K23" s="3" t="inlineStr"/>
      <c r="L23" s="3" t="inlineStr"/>
      <c r="M23" s="3" t="inlineStr"/>
    </row>
    <row r="24">
      <c r="A24" s="2" t="inlineStr">
        <is>
          <t>FT-023</t>
        </is>
      </c>
      <c r="B24" s="2" t="inlineStr">
        <is>
          <t>Auth</t>
        </is>
      </c>
      <c r="C24" s="2" t="inlineStr">
        <is>
          <t>Show/hide password</t>
        </is>
      </c>
      <c r="D24" s="2" t="inlineStr">
        <is>
          <t>Route/endpoint available: /auth</t>
        </is>
      </c>
      <c r="E24" s="2" t="inlineStr">
        <is>
          <t>Toggle eye icon</t>
        </is>
      </c>
      <c r="F24" s="2" t="inlineStr">
        <is>
          <t>Password visibility toggles.</t>
        </is>
      </c>
      <c r="G24" s="2" t="inlineStr"/>
      <c r="H24" s="2" t="inlineStr"/>
      <c r="I24" s="2" t="inlineStr">
        <is>
          <t>Medium</t>
        </is>
      </c>
      <c r="J24" s="2" t="inlineStr"/>
      <c r="K24" s="2" t="inlineStr"/>
      <c r="L24" s="2" t="inlineStr"/>
      <c r="M24" s="2" t="inlineStr"/>
    </row>
    <row r="25">
      <c r="A25" s="3" t="inlineStr">
        <is>
          <t>FT-024</t>
        </is>
      </c>
      <c r="B25" s="3" t="inlineStr">
        <is>
          <t>Verify Email</t>
        </is>
      </c>
      <c r="C25" s="3" t="inlineStr">
        <is>
          <t>Resend verification</t>
        </is>
      </c>
      <c r="D25" s="3" t="inlineStr">
        <is>
          <t>Route/endpoint available: /verify-email</t>
        </is>
      </c>
      <c r="E25" s="3" t="inlineStr">
        <is>
          <t>Click resend</t>
        </is>
      </c>
      <c r="F25" s="3" t="inlineStr">
        <is>
          <t>Verification email request succeeds or proper error shown.</t>
        </is>
      </c>
      <c r="G25" s="3" t="inlineStr"/>
      <c r="H25" s="3" t="inlineStr"/>
      <c r="I25" s="3" t="inlineStr">
        <is>
          <t>Medium</t>
        </is>
      </c>
      <c r="J25" s="3" t="inlineStr"/>
      <c r="K25" s="3" t="inlineStr"/>
      <c r="L25" s="3" t="inlineStr"/>
      <c r="M25" s="3" t="inlineStr"/>
    </row>
    <row r="26">
      <c r="A26" s="2" t="inlineStr">
        <is>
          <t>FT-025</t>
        </is>
      </c>
      <c r="B26" s="2" t="inlineStr">
        <is>
          <t>Verify Email</t>
        </is>
      </c>
      <c r="C26" s="2" t="inlineStr">
        <is>
          <t>Check verification</t>
        </is>
      </c>
      <c r="D26" s="2" t="inlineStr">
        <is>
          <t>Route/endpoint available: /verify-email</t>
        </is>
      </c>
      <c r="E26" s="2" t="inlineStr">
        <is>
          <t>Verify account externally, click check</t>
        </is>
      </c>
      <c r="F26" s="2" t="inlineStr">
        <is>
          <t>User reaches dashboard after reload/check.</t>
        </is>
      </c>
      <c r="G26" s="2" t="inlineStr"/>
      <c r="H26" s="2" t="inlineStr"/>
      <c r="I26" s="2" t="inlineStr">
        <is>
          <t>Medium</t>
        </is>
      </c>
      <c r="J26" s="2" t="inlineStr"/>
      <c r="K26" s="2" t="inlineStr"/>
      <c r="L26" s="2" t="inlineStr"/>
      <c r="M26" s="2" t="inlineStr"/>
    </row>
    <row r="27">
      <c r="A27" s="3" t="inlineStr">
        <is>
          <t>FT-026</t>
        </is>
      </c>
      <c r="B27" s="3" t="inlineStr">
        <is>
          <t>Protected Route</t>
        </is>
      </c>
      <c r="C27" s="3" t="inlineStr">
        <is>
          <t>Unauthenticated dashboard redirect</t>
        </is>
      </c>
      <c r="D27" s="3" t="inlineStr">
        <is>
          <t>Route/endpoint available: /dashboard</t>
        </is>
      </c>
      <c r="E27" s="3" t="inlineStr">
        <is>
          <t>Open /dashboard in signed-out browser</t>
        </is>
      </c>
      <c r="F27" s="3" t="inlineStr">
        <is>
          <t>Redirects to /auth.</t>
        </is>
      </c>
      <c r="G27" s="3" t="inlineStr"/>
      <c r="H27" s="3" t="inlineStr"/>
      <c r="I27" s="3" t="inlineStr">
        <is>
          <t>Medium</t>
        </is>
      </c>
      <c r="J27" s="3" t="inlineStr"/>
      <c r="K27" s="3" t="inlineStr"/>
      <c r="L27" s="3" t="inlineStr"/>
      <c r="M27" s="3" t="inlineStr"/>
    </row>
    <row r="28">
      <c r="A28" s="2" t="inlineStr">
        <is>
          <t>FT-027</t>
        </is>
      </c>
      <c r="B28" s="2" t="inlineStr">
        <is>
          <t>Dashboard</t>
        </is>
      </c>
      <c r="C28" s="2" t="inlineStr">
        <is>
          <t>Dashboard home loads</t>
        </is>
      </c>
      <c r="D28" s="2" t="inlineStr">
        <is>
          <t>Route/endpoint available: /dashboard</t>
        </is>
      </c>
      <c r="E28" s="2" t="inlineStr">
        <is>
          <t>Login and open dashboard</t>
        </is>
      </c>
      <c r="F28" s="2" t="inlineStr">
        <is>
          <t>Plan banner, cards, and history render.</t>
        </is>
      </c>
      <c r="G28" s="2" t="inlineStr"/>
      <c r="H28" s="2" t="inlineStr"/>
      <c r="I28" s="2" t="inlineStr">
        <is>
          <t>Medium</t>
        </is>
      </c>
      <c r="J28" s="2" t="inlineStr"/>
      <c r="K28" s="2" t="inlineStr"/>
      <c r="L28" s="2" t="inlineStr"/>
      <c r="M28" s="2" t="inlineStr"/>
    </row>
    <row r="29">
      <c r="A29" s="3" t="inlineStr">
        <is>
          <t>FT-028</t>
        </is>
      </c>
      <c r="B29" s="3" t="inlineStr">
        <is>
          <t>Dashboard</t>
        </is>
      </c>
      <c r="C29" s="3" t="inlineStr">
        <is>
          <t>Sidebar navigation</t>
        </is>
      </c>
      <c r="D29" s="3" t="inlineStr">
        <is>
          <t>Route/endpoint available: /dashboard</t>
        </is>
      </c>
      <c r="E29" s="3" t="inlineStr">
        <is>
          <t>Click each sidebar item</t>
        </is>
      </c>
      <c r="F29" s="3" t="inlineStr">
        <is>
          <t>Each protected route opens and active state updates.</t>
        </is>
      </c>
      <c r="G29" s="3" t="inlineStr"/>
      <c r="H29" s="3" t="inlineStr"/>
      <c r="I29" s="3" t="inlineStr">
        <is>
          <t>Medium</t>
        </is>
      </c>
      <c r="J29" s="3" t="inlineStr"/>
      <c r="K29" s="3" t="inlineStr"/>
      <c r="L29" s="3" t="inlineStr"/>
      <c r="M29" s="3" t="inlineStr"/>
    </row>
    <row r="30">
      <c r="A30" s="2" t="inlineStr">
        <is>
          <t>FT-029</t>
        </is>
      </c>
      <c r="B30" s="2" t="inlineStr">
        <is>
          <t>Dashboard</t>
        </is>
      </c>
      <c r="C30" s="2" t="inlineStr">
        <is>
          <t>Sidebar collapse/mobile</t>
        </is>
      </c>
      <c r="D30" s="2" t="inlineStr">
        <is>
          <t>Route/endpoint available: /dashboard</t>
        </is>
      </c>
      <c r="E30" s="2" t="inlineStr">
        <is>
          <t>Collapse sidebar and test mobile menu</t>
        </is>
      </c>
      <c r="F30" s="2" t="inlineStr">
        <is>
          <t>Navigation stays usable.</t>
        </is>
      </c>
      <c r="G30" s="2" t="inlineStr"/>
      <c r="H30" s="2" t="inlineStr"/>
      <c r="I30" s="2" t="inlineStr">
        <is>
          <t>Medium</t>
        </is>
      </c>
      <c r="J30" s="2" t="inlineStr"/>
      <c r="K30" s="2" t="inlineStr"/>
      <c r="L30" s="2" t="inlineStr"/>
      <c r="M30" s="2" t="inlineStr"/>
    </row>
    <row r="31">
      <c r="A31" s="3" t="inlineStr">
        <is>
          <t>FT-030</t>
        </is>
      </c>
      <c r="B31" s="3" t="inlineStr">
        <is>
          <t>Dashboard</t>
        </is>
      </c>
      <c r="C31" s="3" t="inlineStr">
        <is>
          <t>Sign out</t>
        </is>
      </c>
      <c r="D31" s="3" t="inlineStr">
        <is>
          <t>Route/endpoint available: /dashboard</t>
        </is>
      </c>
      <c r="E31" s="3" t="inlineStr">
        <is>
          <t>Click sign out</t>
        </is>
      </c>
      <c r="F31" s="3" t="inlineStr">
        <is>
          <t>Session ends and protected routes redirect.</t>
        </is>
      </c>
      <c r="G31" s="3" t="inlineStr"/>
      <c r="H31" s="3" t="inlineStr"/>
      <c r="I31" s="3" t="inlineStr">
        <is>
          <t>Medium</t>
        </is>
      </c>
      <c r="J31" s="3" t="inlineStr"/>
      <c r="K31" s="3" t="inlineStr"/>
      <c r="L31" s="3" t="inlineStr"/>
      <c r="M31" s="3" t="inlineStr"/>
    </row>
    <row r="32">
      <c r="A32" s="2" t="inlineStr">
        <is>
          <t>FT-031</t>
        </is>
      </c>
      <c r="B32" s="2" t="inlineStr">
        <is>
          <t>Resume Intelligence</t>
        </is>
      </c>
      <c r="C32" s="2" t="inlineStr">
        <is>
          <t>Resume paste analysis</t>
        </is>
      </c>
      <c r="D32" s="2" t="inlineStr">
        <is>
          <t>Route/endpoint available: /dashboard/resume</t>
        </is>
      </c>
      <c r="E32" s="2" t="inlineStr">
        <is>
          <t>Paste resume and click Analyze</t>
        </is>
      </c>
      <c r="F32" s="2" t="inlineStr">
        <is>
          <t>checkUsage and careerAnalysis run; score and guidance render.</t>
        </is>
      </c>
      <c r="G32" s="2" t="inlineStr"/>
      <c r="H32" s="2" t="inlineStr"/>
      <c r="I32" s="2" t="inlineStr">
        <is>
          <t>Medium</t>
        </is>
      </c>
      <c r="J32" s="2" t="inlineStr"/>
      <c r="K32" s="2" t="inlineStr"/>
      <c r="L32" s="2" t="inlineStr"/>
      <c r="M32" s="2" t="inlineStr"/>
    </row>
    <row r="33">
      <c r="A33" s="3" t="inlineStr">
        <is>
          <t>FT-032</t>
        </is>
      </c>
      <c r="B33" s="3" t="inlineStr">
        <is>
          <t>Resume Intelligence</t>
        </is>
      </c>
      <c r="C33" s="3" t="inlineStr">
        <is>
          <t>Resume empty input validation</t>
        </is>
      </c>
      <c r="D33" s="3" t="inlineStr">
        <is>
          <t>Route/endpoint available: /dashboard/resume</t>
        </is>
      </c>
      <c r="E33" s="3" t="inlineStr">
        <is>
          <t>Attempt analyze without resume text</t>
        </is>
      </c>
      <c r="F33" s="3" t="inlineStr">
        <is>
          <t>User sees validation error and no AI call.</t>
        </is>
      </c>
      <c r="G33" s="3" t="inlineStr"/>
      <c r="H33" s="3" t="inlineStr"/>
      <c r="I33" s="3" t="inlineStr">
        <is>
          <t>Medium</t>
        </is>
      </c>
      <c r="J33" s="3" t="inlineStr"/>
      <c r="K33" s="3" t="inlineStr"/>
      <c r="L33" s="3" t="inlineStr"/>
      <c r="M33" s="3" t="inlineStr"/>
    </row>
    <row r="34">
      <c r="A34" s="2" t="inlineStr">
        <is>
          <t>FT-033</t>
        </is>
      </c>
      <c r="B34" s="2" t="inlineStr">
        <is>
          <t>Resume Intelligence</t>
        </is>
      </c>
      <c r="C34" s="2" t="inlineStr">
        <is>
          <t>PDF upload/extraction</t>
        </is>
      </c>
      <c r="D34" s="2" t="inlineStr">
        <is>
          <t>Route/endpoint available: /dashboard/resume</t>
        </is>
      </c>
      <c r="E34" s="2" t="inlineStr">
        <is>
          <t>Upload valid PDF resume</t>
        </is>
      </c>
      <c r="F34" s="2" t="inlineStr">
        <is>
          <t>extractPdf returns text or a clear error.</t>
        </is>
      </c>
      <c r="G34" s="2" t="inlineStr"/>
      <c r="H34" s="2" t="inlineStr"/>
      <c r="I34" s="2" t="inlineStr">
        <is>
          <t>Medium</t>
        </is>
      </c>
      <c r="J34" s="2" t="inlineStr"/>
      <c r="K34" s="2" t="inlineStr"/>
      <c r="L34" s="2" t="inlineStr"/>
      <c r="M34" s="2" t="inlineStr"/>
    </row>
    <row r="35">
      <c r="A35" s="3" t="inlineStr">
        <is>
          <t>FT-034</t>
        </is>
      </c>
      <c r="B35" s="3" t="inlineStr">
        <is>
          <t>Resume Intelligence</t>
        </is>
      </c>
      <c r="C35" s="3" t="inlineStr">
        <is>
          <t>Resume stored in resumes collection</t>
        </is>
      </c>
      <c r="D35" s="3" t="inlineStr">
        <is>
          <t>Route/endpoint available: /dashboard/resume</t>
        </is>
      </c>
      <c r="E35" s="3" t="inlineStr">
        <is>
          <t>Analyze resume</t>
        </is>
      </c>
      <c r="F35" s="3" t="inlineStr">
        <is>
          <t>resumes document is created/updated for the user.</t>
        </is>
      </c>
      <c r="G35" s="3" t="inlineStr"/>
      <c r="H35" s="3" t="inlineStr"/>
      <c r="I35" s="3" t="inlineStr">
        <is>
          <t>Medium</t>
        </is>
      </c>
      <c r="J35" s="3" t="inlineStr"/>
      <c r="K35" s="3" t="inlineStr"/>
      <c r="L35" s="3" t="inlineStr"/>
      <c r="M35" s="3" t="inlineStr"/>
    </row>
    <row r="36">
      <c r="A36" s="2" t="inlineStr">
        <is>
          <t>FT-035</t>
        </is>
      </c>
      <c r="B36" s="2" t="inlineStr">
        <is>
          <t>Resume Intelligence</t>
        </is>
      </c>
      <c r="C36" s="2" t="inlineStr">
        <is>
          <t>Latest analysis history</t>
        </is>
      </c>
      <c r="D36" s="2" t="inlineStr">
        <is>
          <t>Route/endpoint available: /dashboard/resume</t>
        </is>
      </c>
      <c r="E36" s="2" t="inlineStr">
        <is>
          <t>Run analysis then refresh</t>
        </is>
      </c>
      <c r="F36" s="2" t="inlineStr">
        <is>
          <t>Latest resume analysis is visible.</t>
        </is>
      </c>
      <c r="G36" s="2" t="inlineStr"/>
      <c r="H36" s="2" t="inlineStr"/>
      <c r="I36" s="2" t="inlineStr">
        <is>
          <t>Medium</t>
        </is>
      </c>
      <c r="J36" s="2" t="inlineStr"/>
      <c r="K36" s="2" t="inlineStr"/>
      <c r="L36" s="2" t="inlineStr"/>
      <c r="M36" s="2" t="inlineStr"/>
    </row>
    <row r="37">
      <c r="A37" s="3" t="inlineStr">
        <is>
          <t>FT-036</t>
        </is>
      </c>
      <c r="B37" s="3" t="inlineStr">
        <is>
          <t>Job Fit</t>
        </is>
      </c>
      <c r="C37" s="3" t="inlineStr">
        <is>
          <t>Resume plus JD analysis</t>
        </is>
      </c>
      <c r="D37" s="3" t="inlineStr">
        <is>
          <t>Route/endpoint available: /dashboard/job-fit</t>
        </is>
      </c>
      <c r="E37" s="3" t="inlineStr">
        <is>
          <t>Paste resume and job description, click Analyze</t>
        </is>
      </c>
      <c r="F37" s="3" t="inlineStr">
        <is>
          <t>Job-fit score, matched/missing skills, breakdown, action plan render.</t>
        </is>
      </c>
      <c r="G37" s="3" t="inlineStr"/>
      <c r="H37" s="3" t="inlineStr"/>
      <c r="I37" s="3" t="inlineStr">
        <is>
          <t>Medium</t>
        </is>
      </c>
      <c r="J37" s="3" t="inlineStr"/>
      <c r="K37" s="3" t="inlineStr"/>
      <c r="L37" s="3" t="inlineStr"/>
      <c r="M37" s="3" t="inlineStr"/>
    </row>
    <row r="38">
      <c r="A38" s="2" t="inlineStr">
        <is>
          <t>FT-037</t>
        </is>
      </c>
      <c r="B38" s="2" t="inlineStr">
        <is>
          <t>Job Fit</t>
        </is>
      </c>
      <c r="C38" s="2" t="inlineStr">
        <is>
          <t>Missing JD validation</t>
        </is>
      </c>
      <c r="D38" s="2" t="inlineStr">
        <is>
          <t>Route/endpoint available: /dashboard/job-fit</t>
        </is>
      </c>
      <c r="E38" s="2" t="inlineStr">
        <is>
          <t>Submit resume without JD</t>
        </is>
      </c>
      <c r="F38" s="2" t="inlineStr">
        <is>
          <t>Validation blocks or helpful error appears.</t>
        </is>
      </c>
      <c r="G38" s="2" t="inlineStr"/>
      <c r="H38" s="2" t="inlineStr"/>
      <c r="I38" s="2" t="inlineStr">
        <is>
          <t>Medium</t>
        </is>
      </c>
      <c r="J38" s="2" t="inlineStr"/>
      <c r="K38" s="2" t="inlineStr"/>
      <c r="L38" s="2" t="inlineStr"/>
      <c r="M38" s="2" t="inlineStr"/>
    </row>
    <row r="39">
      <c r="A39" s="3" t="inlineStr">
        <is>
          <t>FT-038</t>
        </is>
      </c>
      <c r="B39" s="3" t="inlineStr">
        <is>
          <t>Job Fit</t>
        </is>
      </c>
      <c r="C39" s="3" t="inlineStr">
        <is>
          <t>Intent selector</t>
        </is>
      </c>
      <c r="D39" s="3" t="inlineStr">
        <is>
          <t>Route/endpoint available: /dashboard/job-fit</t>
        </is>
      </c>
      <c r="E39" s="3" t="inlineStr">
        <is>
          <t>Change analysis intent</t>
        </is>
      </c>
      <c r="F39" s="3" t="inlineStr">
        <is>
          <t>Selected intent changes request context/UI state.</t>
        </is>
      </c>
      <c r="G39" s="3" t="inlineStr"/>
      <c r="H39" s="3" t="inlineStr"/>
      <c r="I39" s="3" t="inlineStr">
        <is>
          <t>Medium</t>
        </is>
      </c>
      <c r="J39" s="3" t="inlineStr"/>
      <c r="K39" s="3" t="inlineStr"/>
      <c r="L39" s="3" t="inlineStr"/>
      <c r="M39" s="3" t="inlineStr"/>
    </row>
    <row r="40">
      <c r="A40" s="2" t="inlineStr">
        <is>
          <t>FT-039</t>
        </is>
      </c>
      <c r="B40" s="2" t="inlineStr">
        <is>
          <t>Job Fit</t>
        </is>
      </c>
      <c r="C40" s="2" t="inlineStr">
        <is>
          <t>Focus chips</t>
        </is>
      </c>
      <c r="D40" s="2" t="inlineStr">
        <is>
          <t>Route/endpoint available: /dashboard/job-fit</t>
        </is>
      </c>
      <c r="E40" s="2" t="inlineStr">
        <is>
          <t>Toggle focus areas</t>
        </is>
      </c>
      <c r="F40" s="2" t="inlineStr">
        <is>
          <t>Chips change selected focus list.</t>
        </is>
      </c>
      <c r="G40" s="2" t="inlineStr"/>
      <c r="H40" s="2" t="inlineStr"/>
      <c r="I40" s="2" t="inlineStr">
        <is>
          <t>Medium</t>
        </is>
      </c>
      <c r="J40" s="2" t="inlineStr"/>
      <c r="K40" s="2" t="inlineStr"/>
      <c r="L40" s="2" t="inlineStr"/>
      <c r="M40" s="2" t="inlineStr"/>
    </row>
    <row r="41">
      <c r="A41" s="3" t="inlineStr">
        <is>
          <t>FT-040</t>
        </is>
      </c>
      <c r="B41" s="3" t="inlineStr">
        <is>
          <t>Job Fit</t>
        </is>
      </c>
      <c r="C41" s="3" t="inlineStr">
        <is>
          <t>Cached duplicate job fit</t>
        </is>
      </c>
      <c r="D41" s="3" t="inlineStr">
        <is>
          <t>Route/endpoint available: /dashboard/job-fit</t>
        </is>
      </c>
      <c r="E41" s="3" t="inlineStr">
        <is>
          <t>Run same resume+JD twice</t>
        </is>
      </c>
      <c r="F41" s="3" t="inlineStr">
        <is>
          <t>Second result may return cached=true without duplicate AI cost.</t>
        </is>
      </c>
      <c r="G41" s="3" t="inlineStr"/>
      <c r="H41" s="3" t="inlineStr"/>
      <c r="I41" s="3" t="inlineStr">
        <is>
          <t>Medium</t>
        </is>
      </c>
      <c r="J41" s="3" t="inlineStr"/>
      <c r="K41" s="3" t="inlineStr"/>
      <c r="L41" s="3" t="inlineStr"/>
      <c r="M41" s="3" t="inlineStr"/>
    </row>
    <row r="42">
      <c r="A42" s="2" t="inlineStr">
        <is>
          <t>FT-041</t>
        </is>
      </c>
      <c r="B42" s="2" t="inlineStr">
        <is>
          <t>Job Fit</t>
        </is>
      </c>
      <c r="C42" s="2" t="inlineStr">
        <is>
          <t>Tailor Resume bridge</t>
        </is>
      </c>
      <c r="D42" s="2" t="inlineStr">
        <is>
          <t>Route/endpoint available: /dashboard/job-fit</t>
        </is>
      </c>
      <c r="E42" s="2" t="inlineStr">
        <is>
          <t>Click Tailor Resume For This JD after result</t>
        </is>
      </c>
      <c r="F42" s="2" t="inlineStr">
        <is>
          <t>Resume Studio opens with resume, JD, target role, and guidance prefilled.</t>
        </is>
      </c>
      <c r="G42" s="2" t="inlineStr"/>
      <c r="H42" s="2" t="inlineStr"/>
      <c r="I42" s="2" t="inlineStr">
        <is>
          <t>Medium</t>
        </is>
      </c>
      <c r="J42" s="2" t="inlineStr"/>
      <c r="K42" s="2" t="inlineStr"/>
      <c r="L42" s="2" t="inlineStr"/>
      <c r="M42" s="2" t="inlineStr"/>
    </row>
    <row r="43">
      <c r="A43" s="3" t="inlineStr">
        <is>
          <t>FT-042</t>
        </is>
      </c>
      <c r="B43" s="3" t="inlineStr">
        <is>
          <t>Resume Studio</t>
        </is>
      </c>
      <c r="C43" s="3" t="inlineStr">
        <is>
          <t>Full rebuild mode</t>
        </is>
      </c>
      <c r="D43" s="3" t="inlineStr">
        <is>
          <t>Route/endpoint available: /dashboard/builder</t>
        </is>
      </c>
      <c r="E43" s="3" t="inlineStr">
        <is>
          <t>Choose Full Rebuild, enter resume and target role, generate</t>
        </is>
      </c>
      <c r="F43" s="3" t="inlineStr">
        <is>
          <t>resume_rebuild runs for eligible plan and preview renders.</t>
        </is>
      </c>
      <c r="G43" s="3" t="inlineStr"/>
      <c r="H43" s="3" t="inlineStr"/>
      <c r="I43" s="3" t="inlineStr">
        <is>
          <t>Medium</t>
        </is>
      </c>
      <c r="J43" s="3" t="inlineStr"/>
      <c r="K43" s="3" t="inlineStr"/>
      <c r="L43" s="3" t="inlineStr"/>
      <c r="M43" s="3" t="inlineStr"/>
    </row>
    <row r="44">
      <c r="A44" s="2" t="inlineStr">
        <is>
          <t>FT-043</t>
        </is>
      </c>
      <c r="B44" s="2" t="inlineStr">
        <is>
          <t>Resume Studio</t>
        </is>
      </c>
      <c r="C44" s="2" t="inlineStr">
        <is>
          <t>Quick edit mode</t>
        </is>
      </c>
      <c r="D44" s="2" t="inlineStr">
        <is>
          <t>Route/endpoint available: /dashboard/builder</t>
        </is>
      </c>
      <c r="E44" s="2" t="inlineStr">
        <is>
          <t>Choose Quick Edit and submit guidance</t>
        </is>
      </c>
      <c r="F44" s="2" t="inlineStr">
        <is>
          <t>Generated resume respects requested edits.</t>
        </is>
      </c>
      <c r="G44" s="2" t="inlineStr"/>
      <c r="H44" s="2" t="inlineStr"/>
      <c r="I44" s="2" t="inlineStr">
        <is>
          <t>Medium</t>
        </is>
      </c>
      <c r="J44" s="2" t="inlineStr"/>
      <c r="K44" s="2" t="inlineStr"/>
      <c r="L44" s="2" t="inlineStr"/>
      <c r="M44" s="2" t="inlineStr"/>
    </row>
    <row r="45">
      <c r="A45" s="3" t="inlineStr">
        <is>
          <t>FT-044</t>
        </is>
      </c>
      <c r="B45" s="3" t="inlineStr">
        <is>
          <t>Resume Studio</t>
        </is>
      </c>
      <c r="C45" s="3" t="inlineStr">
        <is>
          <t>JD tailor mode</t>
        </is>
      </c>
      <c r="D45" s="3" t="inlineStr">
        <is>
          <t>Route/endpoint available: /dashboard/builder</t>
        </is>
      </c>
      <c r="E45" s="3" t="inlineStr">
        <is>
          <t>Choose JD Tailor and include JD</t>
        </is>
      </c>
      <c r="F45" s="3" t="inlineStr">
        <is>
          <t>Generated resume is aligned to the JD.</t>
        </is>
      </c>
      <c r="G45" s="3" t="inlineStr"/>
      <c r="H45" s="3" t="inlineStr"/>
      <c r="I45" s="3" t="inlineStr">
        <is>
          <t>Medium</t>
        </is>
      </c>
      <c r="J45" s="3" t="inlineStr"/>
      <c r="K45" s="3" t="inlineStr"/>
      <c r="L45" s="3" t="inlineStr"/>
      <c r="M45" s="3" t="inlineStr"/>
    </row>
    <row r="46">
      <c r="A46" s="2" t="inlineStr">
        <is>
          <t>FT-045</t>
        </is>
      </c>
      <c r="B46" s="2" t="inlineStr">
        <is>
          <t>Resume Studio</t>
        </is>
      </c>
      <c r="C46" s="2" t="inlineStr">
        <is>
          <t>First resume mode</t>
        </is>
      </c>
      <c r="D46" s="2" t="inlineStr">
        <is>
          <t>Route/endpoint available: /dashboard/builder</t>
        </is>
      </c>
      <c r="E46" s="2" t="inlineStr">
        <is>
          <t>Fill fresher fields and generate</t>
        </is>
      </c>
      <c r="F46" s="2" t="inlineStr">
        <is>
          <t>Generated structured resume includes education/projects/skills.</t>
        </is>
      </c>
      <c r="G46" s="2" t="inlineStr"/>
      <c r="H46" s="2" t="inlineStr"/>
      <c r="I46" s="2" t="inlineStr">
        <is>
          <t>Medium</t>
        </is>
      </c>
      <c r="J46" s="2" t="inlineStr"/>
      <c r="K46" s="2" t="inlineStr"/>
      <c r="L46" s="2" t="inlineStr"/>
      <c r="M46" s="2" t="inlineStr"/>
    </row>
    <row r="47">
      <c r="A47" s="3" t="inlineStr">
        <is>
          <t>FT-046</t>
        </is>
      </c>
      <c r="B47" s="3" t="inlineStr">
        <is>
          <t>Resume Studio</t>
        </is>
      </c>
      <c r="C47" s="3" t="inlineStr">
        <is>
          <t>Control mode selection</t>
        </is>
      </c>
      <c r="D47" s="3" t="inlineStr">
        <is>
          <t>Route/endpoint available: /dashboard/builder</t>
        </is>
      </c>
      <c r="E47" s="3" t="inlineStr">
        <is>
          <t>Toggle AI control mode</t>
        </is>
      </c>
      <c r="F47" s="3" t="inlineStr">
        <is>
          <t>Selected mode persists in compiled request.</t>
        </is>
      </c>
      <c r="G47" s="3" t="inlineStr"/>
      <c r="H47" s="3" t="inlineStr"/>
      <c r="I47" s="3" t="inlineStr">
        <is>
          <t>Medium</t>
        </is>
      </c>
      <c r="J47" s="3" t="inlineStr"/>
      <c r="K47" s="3" t="inlineStr"/>
      <c r="L47" s="3" t="inlineStr"/>
      <c r="M47" s="3" t="inlineStr"/>
    </row>
    <row r="48">
      <c r="A48" s="2" t="inlineStr">
        <is>
          <t>FT-047</t>
        </is>
      </c>
      <c r="B48" s="2" t="inlineStr">
        <is>
          <t>Resume Studio</t>
        </is>
      </c>
      <c r="C48" s="2" t="inlineStr">
        <is>
          <t>Optimization target chips</t>
        </is>
      </c>
      <c r="D48" s="2" t="inlineStr">
        <is>
          <t>Route/endpoint available: /dashboard/builder</t>
        </is>
      </c>
      <c r="E48" s="2" t="inlineStr">
        <is>
          <t>Toggle target chips</t>
        </is>
      </c>
      <c r="F48" s="2" t="inlineStr">
        <is>
          <t>Selected targets appear in request guidance.</t>
        </is>
      </c>
      <c r="G48" s="2" t="inlineStr"/>
      <c r="H48" s="2" t="inlineStr"/>
      <c r="I48" s="2" t="inlineStr">
        <is>
          <t>Medium</t>
        </is>
      </c>
      <c r="J48" s="2" t="inlineStr"/>
      <c r="K48" s="2" t="inlineStr"/>
      <c r="L48" s="2" t="inlineStr"/>
      <c r="M48" s="2" t="inlineStr"/>
    </row>
    <row r="49">
      <c r="A49" s="3" t="inlineStr">
        <is>
          <t>FT-048</t>
        </is>
      </c>
      <c r="B49" s="3" t="inlineStr">
        <is>
          <t>Resume Studio</t>
        </is>
      </c>
      <c r="C49" s="3" t="inlineStr">
        <is>
          <t>Tone and length selectors</t>
        </is>
      </c>
      <c r="D49" s="3" t="inlineStr">
        <is>
          <t>Route/endpoint available: /dashboard/builder</t>
        </is>
      </c>
      <c r="E49" s="3" t="inlineStr">
        <is>
          <t>Change tone and length</t>
        </is>
      </c>
      <c r="F49" s="3" t="inlineStr">
        <is>
          <t>Chosen preferences affect compiled prompt.</t>
        </is>
      </c>
      <c r="G49" s="3" t="inlineStr"/>
      <c r="H49" s="3" t="inlineStr"/>
      <c r="I49" s="3" t="inlineStr">
        <is>
          <t>Medium</t>
        </is>
      </c>
      <c r="J49" s="3" t="inlineStr"/>
      <c r="K49" s="3" t="inlineStr"/>
      <c r="L49" s="3" t="inlineStr"/>
      <c r="M49" s="3" t="inlineStr"/>
    </row>
    <row r="50">
      <c r="A50" s="2" t="inlineStr">
        <is>
          <t>FT-049</t>
        </is>
      </c>
      <c r="B50" s="2" t="inlineStr">
        <is>
          <t>Resume Studio</t>
        </is>
      </c>
      <c r="C50" s="2" t="inlineStr">
        <is>
          <t>PDF export</t>
        </is>
      </c>
      <c r="D50" s="2" t="inlineStr">
        <is>
          <t>Route/endpoint available: /dashboard/builder</t>
        </is>
      </c>
      <c r="E50" s="2" t="inlineStr">
        <is>
          <t>Generate resume then click Download PDF</t>
        </is>
      </c>
      <c r="F50" s="2" t="inlineStr">
        <is>
          <t>PDF downloads and opens.</t>
        </is>
      </c>
      <c r="G50" s="2" t="inlineStr"/>
      <c r="H50" s="2" t="inlineStr"/>
      <c r="I50" s="2" t="inlineStr">
        <is>
          <t>Medium</t>
        </is>
      </c>
      <c r="J50" s="2" t="inlineStr"/>
      <c r="K50" s="2" t="inlineStr"/>
      <c r="L50" s="2" t="inlineStr"/>
      <c r="M50" s="2" t="inlineStr"/>
    </row>
    <row r="51">
      <c r="A51" s="3" t="inlineStr">
        <is>
          <t>FT-050</t>
        </is>
      </c>
      <c r="B51" s="3" t="inlineStr">
        <is>
          <t>Resume Studio</t>
        </is>
      </c>
      <c r="C51" s="3" t="inlineStr">
        <is>
          <t>DOCX export</t>
        </is>
      </c>
      <c r="D51" s="3" t="inlineStr">
        <is>
          <t>Route/endpoint available: /dashboard/builder</t>
        </is>
      </c>
      <c r="E51" s="3" t="inlineStr">
        <is>
          <t>Generate resume then click Download DOCX</t>
        </is>
      </c>
      <c r="F51" s="3" t="inlineStr">
        <is>
          <t>DOCX downloads and opens in Word.</t>
        </is>
      </c>
      <c r="G51" s="3" t="inlineStr"/>
      <c r="H51" s="3" t="inlineStr"/>
      <c r="I51" s="3" t="inlineStr">
        <is>
          <t>Medium</t>
        </is>
      </c>
      <c r="J51" s="3" t="inlineStr"/>
      <c r="K51" s="3" t="inlineStr"/>
      <c r="L51" s="3" t="inlineStr"/>
      <c r="M51" s="3" t="inlineStr"/>
    </row>
    <row r="52">
      <c r="A52" s="2" t="inlineStr">
        <is>
          <t>FT-051</t>
        </is>
      </c>
      <c r="B52" s="2" t="inlineStr">
        <is>
          <t>Skill Roadmap</t>
        </is>
      </c>
      <c r="C52" s="2" t="inlineStr">
        <is>
          <t>Roadmap generation</t>
        </is>
      </c>
      <c r="D52" s="2" t="inlineStr">
        <is>
          <t>Route/endpoint available: /dashboard/roadmap</t>
        </is>
      </c>
      <c r="E52" s="2" t="inlineStr">
        <is>
          <t>Enter missing skills/resume context and generate</t>
        </is>
      </c>
      <c r="F52" s="2" t="inlineStr">
        <is>
          <t>30/60/90 plan renders with resources and projects.</t>
        </is>
      </c>
      <c r="G52" s="2" t="inlineStr"/>
      <c r="H52" s="2" t="inlineStr"/>
      <c r="I52" s="2" t="inlineStr">
        <is>
          <t>Medium</t>
        </is>
      </c>
      <c r="J52" s="2" t="inlineStr"/>
      <c r="K52" s="2" t="inlineStr"/>
      <c r="L52" s="2" t="inlineStr"/>
      <c r="M52" s="2" t="inlineStr"/>
    </row>
    <row r="53">
      <c r="A53" s="3" t="inlineStr">
        <is>
          <t>FT-052</t>
        </is>
      </c>
      <c r="B53" s="3" t="inlineStr">
        <is>
          <t>Interview Prep</t>
        </is>
      </c>
      <c r="C53" s="3" t="inlineStr">
        <is>
          <t>Interview question generation</t>
        </is>
      </c>
      <c r="D53" s="3" t="inlineStr">
        <is>
          <t>Route/endpoint available: /dashboard/interview</t>
        </is>
      </c>
      <c r="E53" s="3" t="inlineStr">
        <is>
          <t>Enter resume and optional JD, generate</t>
        </is>
      </c>
      <c r="F53" s="3" t="inlineStr">
        <is>
          <t>Question banks render by category.</t>
        </is>
      </c>
      <c r="G53" s="3" t="inlineStr"/>
      <c r="H53" s="3" t="inlineStr"/>
      <c r="I53" s="3" t="inlineStr">
        <is>
          <t>Medium</t>
        </is>
      </c>
      <c r="J53" s="3" t="inlineStr"/>
      <c r="K53" s="3" t="inlineStr"/>
      <c r="L53" s="3" t="inlineStr"/>
      <c r="M53" s="3" t="inlineStr"/>
    </row>
    <row r="54">
      <c r="A54" s="2" t="inlineStr">
        <is>
          <t>FT-053</t>
        </is>
      </c>
      <c r="B54" s="2" t="inlineStr">
        <is>
          <t>Promotion Readiness</t>
        </is>
      </c>
      <c r="C54" s="2" t="inlineStr">
        <is>
          <t>Promotion analysis</t>
        </is>
      </c>
      <c r="D54" s="2" t="inlineStr">
        <is>
          <t>Route/endpoint available: /dashboard/promotion</t>
        </is>
      </c>
      <c r="E54" s="2" t="inlineStr">
        <is>
          <t>Enter current role, target role, resume, generate</t>
        </is>
      </c>
      <c r="F54" s="2" t="inlineStr">
        <is>
          <t>Readiness score, gaps, timeline, action plan render.</t>
        </is>
      </c>
      <c r="G54" s="2" t="inlineStr"/>
      <c r="H54" s="2" t="inlineStr"/>
      <c r="I54" s="2" t="inlineStr">
        <is>
          <t>Medium</t>
        </is>
      </c>
      <c r="J54" s="2" t="inlineStr"/>
      <c r="K54" s="2" t="inlineStr"/>
      <c r="L54" s="2" t="inlineStr"/>
      <c r="M54" s="2" t="inlineStr"/>
    </row>
    <row r="55">
      <c r="A55" s="3" t="inlineStr">
        <is>
          <t>FT-054</t>
        </is>
      </c>
      <c r="B55" s="3" t="inlineStr">
        <is>
          <t>Portfolio Analyzer</t>
        </is>
      </c>
      <c r="C55" s="3" t="inlineStr">
        <is>
          <t>Add/remove project</t>
        </is>
      </c>
      <c r="D55" s="3" t="inlineStr">
        <is>
          <t>Route/endpoint available: /dashboard/portfolio</t>
        </is>
      </c>
      <c r="E55" s="3" t="inlineStr">
        <is>
          <t>Add two projects, remove one</t>
        </is>
      </c>
      <c r="F55" s="3" t="inlineStr">
        <is>
          <t>Project fields update correctly.</t>
        </is>
      </c>
      <c r="G55" s="3" t="inlineStr"/>
      <c r="H55" s="3" t="inlineStr"/>
      <c r="I55" s="3" t="inlineStr">
        <is>
          <t>Medium</t>
        </is>
      </c>
      <c r="J55" s="3" t="inlineStr"/>
      <c r="K55" s="3" t="inlineStr"/>
      <c r="L55" s="3" t="inlineStr"/>
      <c r="M55" s="3" t="inlineStr"/>
    </row>
    <row r="56">
      <c r="A56" s="2" t="inlineStr">
        <is>
          <t>FT-055</t>
        </is>
      </c>
      <c r="B56" s="2" t="inlineStr">
        <is>
          <t>Portfolio Analyzer</t>
        </is>
      </c>
      <c r="C56" s="2" t="inlineStr">
        <is>
          <t>Portfolio generation</t>
        </is>
      </c>
      <c r="D56" s="2" t="inlineStr">
        <is>
          <t>Route/endpoint available: /dashboard/portfolio</t>
        </is>
      </c>
      <c r="E56" s="2" t="inlineStr">
        <is>
          <t>Enter projects and generate</t>
        </is>
      </c>
      <c r="F56" s="2" t="inlineStr">
        <is>
          <t>Depth/attractiveness scores and project suggestions render.</t>
        </is>
      </c>
      <c r="G56" s="2" t="inlineStr"/>
      <c r="H56" s="2" t="inlineStr"/>
      <c r="I56" s="2" t="inlineStr">
        <is>
          <t>Medium</t>
        </is>
      </c>
      <c r="J56" s="2" t="inlineStr"/>
      <c r="K56" s="2" t="inlineStr"/>
      <c r="L56" s="2" t="inlineStr"/>
      <c r="M56" s="2" t="inlineStr"/>
    </row>
    <row r="57">
      <c r="A57" s="3" t="inlineStr">
        <is>
          <t>FT-056</t>
        </is>
      </c>
      <c r="B57" s="3" t="inlineStr">
        <is>
          <t>LinkedIn</t>
        </is>
      </c>
      <c r="C57" s="3" t="inlineStr">
        <is>
          <t>LinkedIn analyze</t>
        </is>
      </c>
      <c r="D57" s="3" t="inlineStr">
        <is>
          <t>Route/endpoint available: /dashboard/linkedin</t>
        </is>
      </c>
      <c r="E57" s="3" t="inlineStr">
        <is>
          <t>Paste LinkedIn text and analyze</t>
        </is>
      </c>
      <c r="F57" s="3" t="inlineStr">
        <is>
          <t>Recruiter visibility/profile score renders.</t>
        </is>
      </c>
      <c r="G57" s="3" t="inlineStr"/>
      <c r="H57" s="3" t="inlineStr"/>
      <c r="I57" s="3" t="inlineStr">
        <is>
          <t>Medium</t>
        </is>
      </c>
      <c r="J57" s="3" t="inlineStr"/>
      <c r="K57" s="3" t="inlineStr"/>
      <c r="L57" s="3" t="inlineStr"/>
      <c r="M57" s="3" t="inlineStr"/>
    </row>
    <row r="58">
      <c r="A58" s="2" t="inlineStr">
        <is>
          <t>FT-057</t>
        </is>
      </c>
      <c r="B58" s="2" t="inlineStr">
        <is>
          <t>LinkedIn</t>
        </is>
      </c>
      <c r="C58" s="2" t="inlineStr">
        <is>
          <t>LinkedIn optimize eligible user</t>
        </is>
      </c>
      <c r="D58" s="2" t="inlineStr">
        <is>
          <t>Route/endpoint available: /dashboard/linkedin</t>
        </is>
      </c>
      <c r="E58" s="2" t="inlineStr">
        <is>
          <t>After analysis, enter target role/industry and optimize</t>
        </is>
      </c>
      <c r="F58" s="2" t="inlineStr">
        <is>
          <t>Optimized headline/about/experience render.</t>
        </is>
      </c>
      <c r="G58" s="2" t="inlineStr"/>
      <c r="H58" s="2" t="inlineStr"/>
      <c r="I58" s="2" t="inlineStr">
        <is>
          <t>Medium</t>
        </is>
      </c>
      <c r="J58" s="2" t="inlineStr"/>
      <c r="K58" s="2" t="inlineStr"/>
      <c r="L58" s="2" t="inlineStr"/>
      <c r="M58" s="2" t="inlineStr"/>
    </row>
    <row r="59">
      <c r="A59" s="3" t="inlineStr">
        <is>
          <t>FT-058</t>
        </is>
      </c>
      <c r="B59" s="3" t="inlineStr">
        <is>
          <t>LinkedIn</t>
        </is>
      </c>
      <c r="C59" s="3" t="inlineStr">
        <is>
          <t>LinkedIn optimize blocked free user</t>
        </is>
      </c>
      <c r="D59" s="3" t="inlineStr">
        <is>
          <t>Route/endpoint available: /dashboard/linkedin</t>
        </is>
      </c>
      <c r="E59" s="3" t="inlineStr">
        <is>
          <t>Attempt optimize as free user</t>
        </is>
      </c>
      <c r="F59" s="3" t="inlineStr">
        <is>
          <t>Upgrade/modal or resource-exhausted message appears.</t>
        </is>
      </c>
      <c r="G59" s="3" t="inlineStr"/>
      <c r="H59" s="3" t="inlineStr"/>
      <c r="I59" s="3" t="inlineStr">
        <is>
          <t>Medium</t>
        </is>
      </c>
      <c r="J59" s="3" t="inlineStr"/>
      <c r="K59" s="3" t="inlineStr"/>
      <c r="L59" s="3" t="inlineStr"/>
      <c r="M59" s="3" t="inlineStr"/>
    </row>
    <row r="60">
      <c r="A60" s="2" t="inlineStr">
        <is>
          <t>FT-059</t>
        </is>
      </c>
      <c r="B60" s="2" t="inlineStr">
        <is>
          <t>Settings</t>
        </is>
      </c>
      <c r="C60" s="2" t="inlineStr">
        <is>
          <t>Profile update</t>
        </is>
      </c>
      <c r="D60" s="2" t="inlineStr">
        <is>
          <t>Route/endpoint available: /dashboard/settings</t>
        </is>
      </c>
      <c r="E60" s="2" t="inlineStr">
        <is>
          <t>Edit display name/profile fields and save</t>
        </is>
      </c>
      <c r="F60" s="2" t="inlineStr">
        <is>
          <t>Profile updates or shows success.</t>
        </is>
      </c>
      <c r="G60" s="2" t="inlineStr"/>
      <c r="H60" s="2" t="inlineStr"/>
      <c r="I60" s="2" t="inlineStr">
        <is>
          <t>Medium</t>
        </is>
      </c>
      <c r="J60" s="2" t="inlineStr"/>
      <c r="K60" s="2" t="inlineStr"/>
      <c r="L60" s="2" t="inlineStr"/>
      <c r="M60" s="2" t="inlineStr"/>
    </row>
    <row r="61">
      <c r="A61" s="3" t="inlineStr">
        <is>
          <t>FT-060</t>
        </is>
      </c>
      <c r="B61" s="3" t="inlineStr">
        <is>
          <t>Settings</t>
        </is>
      </c>
      <c r="C61" s="3" t="inlineStr">
        <is>
          <t>Password change</t>
        </is>
      </c>
      <c r="D61" s="3" t="inlineStr">
        <is>
          <t>Route/endpoint available: /dashboard/settings</t>
        </is>
      </c>
      <c r="E61" s="3" t="inlineStr">
        <is>
          <t>Enter password change flow</t>
        </is>
      </c>
      <c r="F61" s="3" t="inlineStr">
        <is>
          <t>Change request succeeds or requires re-auth with clear error.</t>
        </is>
      </c>
      <c r="G61" s="3" t="inlineStr"/>
      <c r="H61" s="3" t="inlineStr"/>
      <c r="I61" s="3" t="inlineStr">
        <is>
          <t>Medium</t>
        </is>
      </c>
      <c r="J61" s="3" t="inlineStr"/>
      <c r="K61" s="3" t="inlineStr"/>
      <c r="L61" s="3" t="inlineStr"/>
      <c r="M61" s="3" t="inlineStr"/>
    </row>
    <row r="62">
      <c r="A62" s="2" t="inlineStr">
        <is>
          <t>FT-061</t>
        </is>
      </c>
      <c r="B62" s="2" t="inlineStr">
        <is>
          <t>Settings</t>
        </is>
      </c>
      <c r="C62" s="2" t="inlineStr">
        <is>
          <t>Apply FIRST1000 coupon</t>
        </is>
      </c>
      <c r="D62" s="2" t="inlineStr">
        <is>
          <t>Route/endpoint available: /dashboard/settings</t>
        </is>
      </c>
      <c r="E62" s="2" t="inlineStr">
        <is>
          <t>Enter FIRST1000 and apply</t>
        </is>
      </c>
      <c r="F62" s="2" t="inlineStr">
        <is>
          <t>Starter trial activates if unused and cap available.</t>
        </is>
      </c>
      <c r="G62" s="2" t="inlineStr"/>
      <c r="H62" s="2" t="inlineStr"/>
      <c r="I62" s="2" t="inlineStr">
        <is>
          <t>Medium</t>
        </is>
      </c>
      <c r="J62" s="2" t="inlineStr"/>
      <c r="K62" s="2" t="inlineStr"/>
      <c r="L62" s="2" t="inlineStr"/>
      <c r="M62" s="2" t="inlineStr"/>
    </row>
    <row r="63">
      <c r="A63" s="3" t="inlineStr">
        <is>
          <t>FT-062</t>
        </is>
      </c>
      <c r="B63" s="3" t="inlineStr">
        <is>
          <t>Settings</t>
        </is>
      </c>
      <c r="C63" s="3" t="inlineStr">
        <is>
          <t>Invalid coupon</t>
        </is>
      </c>
      <c r="D63" s="3" t="inlineStr">
        <is>
          <t>Route/endpoint available: /dashboard/settings</t>
        </is>
      </c>
      <c r="E63" s="3" t="inlineStr">
        <is>
          <t>Enter invalid coupon</t>
        </is>
      </c>
      <c r="F63" s="3" t="inlineStr">
        <is>
          <t>Invalid coupon error appears.</t>
        </is>
      </c>
      <c r="G63" s="3" t="inlineStr"/>
      <c r="H63" s="3" t="inlineStr"/>
      <c r="I63" s="3" t="inlineStr">
        <is>
          <t>Medium</t>
        </is>
      </c>
      <c r="J63" s="3" t="inlineStr"/>
      <c r="K63" s="3" t="inlineStr"/>
      <c r="L63" s="3" t="inlineStr"/>
      <c r="M63" s="3" t="inlineStr"/>
    </row>
    <row r="64">
      <c r="A64" s="2" t="inlineStr">
        <is>
          <t>FT-063</t>
        </is>
      </c>
      <c r="B64" s="2" t="inlineStr">
        <is>
          <t>Settings</t>
        </is>
      </c>
      <c r="C64" s="2" t="inlineStr">
        <is>
          <t>Starter checkout</t>
        </is>
      </c>
      <c r="D64" s="2" t="inlineStr">
        <is>
          <t>Route/endpoint available: /dashboard/settings</t>
        </is>
      </c>
      <c r="E64" s="2" t="inlineStr">
        <is>
          <t>Click Starter upgrade</t>
        </is>
      </c>
      <c r="F64" s="2" t="inlineStr">
        <is>
          <t>createPaymentOrder returns Starter order and Razorpay opens INR 399.</t>
        </is>
      </c>
      <c r="G64" s="2" t="inlineStr"/>
      <c r="H64" s="2" t="inlineStr"/>
      <c r="I64" s="2" t="inlineStr">
        <is>
          <t>Medium</t>
        </is>
      </c>
      <c r="J64" s="2" t="inlineStr"/>
      <c r="K64" s="2" t="inlineStr"/>
      <c r="L64" s="2" t="inlineStr"/>
      <c r="M64" s="2" t="inlineStr"/>
    </row>
    <row r="65">
      <c r="A65" s="3" t="inlineStr">
        <is>
          <t>FT-064</t>
        </is>
      </c>
      <c r="B65" s="3" t="inlineStr">
        <is>
          <t>Settings</t>
        </is>
      </c>
      <c r="C65" s="3" t="inlineStr">
        <is>
          <t>Pro checkout</t>
        </is>
      </c>
      <c r="D65" s="3" t="inlineStr">
        <is>
          <t>Route/endpoint available: /dashboard/settings</t>
        </is>
      </c>
      <c r="E65" s="3" t="inlineStr">
        <is>
          <t>Click Pro upgrade</t>
        </is>
      </c>
      <c r="F65" s="3" t="inlineStr">
        <is>
          <t>createPaymentOrder returns Pro order and Razorpay opens INR 599.</t>
        </is>
      </c>
      <c r="G65" s="3" t="inlineStr"/>
      <c r="H65" s="3" t="inlineStr"/>
      <c r="I65" s="3" t="inlineStr">
        <is>
          <t>Medium</t>
        </is>
      </c>
      <c r="J65" s="3" t="inlineStr"/>
      <c r="K65" s="3" t="inlineStr"/>
      <c r="L65" s="3" t="inlineStr"/>
      <c r="M65" s="3" t="inlineStr"/>
    </row>
    <row r="66">
      <c r="A66" s="2" t="inlineStr">
        <is>
          <t>FT-065</t>
        </is>
      </c>
      <c r="B66" s="2" t="inlineStr">
        <is>
          <t>Settings</t>
        </is>
      </c>
      <c r="C66" s="2" t="inlineStr">
        <is>
          <t>Notification toggles</t>
        </is>
      </c>
      <c r="D66" s="2" t="inlineStr">
        <is>
          <t>Route/endpoint available: /dashboard/settings</t>
        </is>
      </c>
      <c r="E66" s="2" t="inlineStr">
        <is>
          <t>Toggle notifications and save</t>
        </is>
      </c>
      <c r="F66" s="2" t="inlineStr">
        <is>
          <t>Success state appears and UI retains values.</t>
        </is>
      </c>
      <c r="G66" s="2" t="inlineStr"/>
      <c r="H66" s="2" t="inlineStr"/>
      <c r="I66" s="2" t="inlineStr">
        <is>
          <t>Medium</t>
        </is>
      </c>
      <c r="J66" s="2" t="inlineStr"/>
      <c r="K66" s="2" t="inlineStr"/>
      <c r="L66" s="2" t="inlineStr"/>
      <c r="M66" s="2" t="inlineStr"/>
    </row>
    <row r="67">
      <c r="A67" s="3" t="inlineStr">
        <is>
          <t>FT-066</t>
        </is>
      </c>
      <c r="B67" s="3" t="inlineStr">
        <is>
          <t>Settings</t>
        </is>
      </c>
      <c r="C67" s="3" t="inlineStr">
        <is>
          <t>Account deletion</t>
        </is>
      </c>
      <c r="D67" s="3" t="inlineStr">
        <is>
          <t>Route/endpoint available: /dashboard/settings</t>
        </is>
      </c>
      <c r="E67" s="3" t="inlineStr">
        <is>
          <t>Trigger delete account in test account</t>
        </is>
      </c>
      <c r="F67" s="3" t="inlineStr">
        <is>
          <t>deleteMyAccount deletes user data/auth or shows confirmation error safely.</t>
        </is>
      </c>
      <c r="G67" s="3" t="inlineStr"/>
      <c r="H67" s="3" t="inlineStr"/>
      <c r="I67" s="3" t="inlineStr">
        <is>
          <t>Medium</t>
        </is>
      </c>
      <c r="J67" s="3" t="inlineStr"/>
      <c r="K67" s="3" t="inlineStr"/>
      <c r="L67" s="3" t="inlineStr"/>
      <c r="M67" s="3" t="inlineStr"/>
    </row>
    <row r="68">
      <c r="A68" s="2" t="inlineStr">
        <is>
          <t>FT-067</t>
        </is>
      </c>
      <c r="B68" s="2" t="inlineStr">
        <is>
          <t>Admin</t>
        </is>
      </c>
      <c r="C68" s="2" t="inlineStr">
        <is>
          <t>Admin route blocked for normal user</t>
        </is>
      </c>
      <c r="D68" s="2" t="inlineStr">
        <is>
          <t>Route/endpoint available: /dashboard/admin</t>
        </is>
      </c>
      <c r="E68" s="2" t="inlineStr">
        <is>
          <t>Open admin as normal verified user</t>
        </is>
      </c>
      <c r="F68" s="2" t="inlineStr">
        <is>
          <t>Access denied or redirect.</t>
        </is>
      </c>
      <c r="G68" s="2" t="inlineStr"/>
      <c r="H68" s="2" t="inlineStr"/>
      <c r="I68" s="2" t="inlineStr">
        <is>
          <t>Medium</t>
        </is>
      </c>
      <c r="J68" s="2" t="inlineStr"/>
      <c r="K68" s="2" t="inlineStr"/>
      <c r="L68" s="2" t="inlineStr"/>
      <c r="M68" s="2" t="inlineStr"/>
    </row>
    <row r="69">
      <c r="A69" s="3" t="inlineStr">
        <is>
          <t>FT-068</t>
        </is>
      </c>
      <c r="B69" s="3" t="inlineStr">
        <is>
          <t>Admin</t>
        </is>
      </c>
      <c r="C69" s="3" t="inlineStr">
        <is>
          <t>Admin dashboard loads for admin</t>
        </is>
      </c>
      <c r="D69" s="3" t="inlineStr">
        <is>
          <t>Route/endpoint available: /dashboard/admin</t>
        </is>
      </c>
      <c r="E69" s="3" t="inlineStr">
        <is>
          <t>Open admin as admin</t>
        </is>
      </c>
      <c r="F69" s="3" t="inlineStr">
        <is>
          <t>Users, plans, usage, analysis, and contact sections render.</t>
        </is>
      </c>
      <c r="G69" s="3" t="inlineStr"/>
      <c r="H69" s="3" t="inlineStr"/>
      <c r="I69" s="3" t="inlineStr">
        <is>
          <t>Medium</t>
        </is>
      </c>
      <c r="J69" s="3" t="inlineStr"/>
      <c r="K69" s="3" t="inlineStr"/>
      <c r="L69" s="3" t="inlineStr"/>
      <c r="M69" s="3" t="inlineStr"/>
    </row>
    <row r="70">
      <c r="A70" s="2" t="inlineStr">
        <is>
          <t>FT-069</t>
        </is>
      </c>
      <c r="B70" s="2" t="inlineStr">
        <is>
          <t>Admin</t>
        </is>
      </c>
      <c r="C70" s="2" t="inlineStr">
        <is>
          <t>Admin role toggle</t>
        </is>
      </c>
      <c r="D70" s="2" t="inlineStr">
        <is>
          <t>Route/endpoint available: /dashboard/admin</t>
        </is>
      </c>
      <c r="E70" s="2" t="inlineStr">
        <is>
          <t>Toggle user role in test data</t>
        </is>
      </c>
      <c r="F70" s="2" t="inlineStr">
        <is>
          <t>adminUpdateUser updates user_roles and UI refreshes.</t>
        </is>
      </c>
      <c r="G70" s="2" t="inlineStr"/>
      <c r="H70" s="2" t="inlineStr"/>
      <c r="I70" s="2" t="inlineStr">
        <is>
          <t>Medium</t>
        </is>
      </c>
      <c r="J70" s="2" t="inlineStr"/>
      <c r="K70" s="2" t="inlineStr"/>
      <c r="L70" s="2" t="inlineStr"/>
      <c r="M70" s="2" t="inlineStr"/>
    </row>
    <row r="71">
      <c r="A71" s="3" t="inlineStr">
        <is>
          <t>FT-070</t>
        </is>
      </c>
      <c r="B71" s="3" t="inlineStr">
        <is>
          <t>Admin</t>
        </is>
      </c>
      <c r="C71" s="3" t="inlineStr">
        <is>
          <t>Admin plan update</t>
        </is>
      </c>
      <c r="D71" s="3" t="inlineStr">
        <is>
          <t>Route/endpoint available: /dashboard/admin</t>
        </is>
      </c>
      <c r="E71" s="3" t="inlineStr">
        <is>
          <t>Change test user plan</t>
        </is>
      </c>
      <c r="F71" s="3" t="inlineStr">
        <is>
          <t>user_plans updates via callable and access changes.</t>
        </is>
      </c>
      <c r="G71" s="3" t="inlineStr"/>
      <c r="H71" s="3" t="inlineStr"/>
      <c r="I71" s="3" t="inlineStr">
        <is>
          <t>Medium</t>
        </is>
      </c>
      <c r="J71" s="3" t="inlineStr"/>
      <c r="K71" s="3" t="inlineStr"/>
      <c r="L71" s="3" t="inlineStr"/>
      <c r="M71" s="3" t="inlineStr"/>
    </row>
    <row r="72">
      <c r="A72" s="2" t="inlineStr">
        <is>
          <t>FT-071</t>
        </is>
      </c>
      <c r="B72" s="2" t="inlineStr">
        <is>
          <t>Admin</t>
        </is>
      </c>
      <c r="C72" s="2" t="inlineStr">
        <is>
          <t>Admin quota reset</t>
        </is>
      </c>
      <c r="D72" s="2" t="inlineStr">
        <is>
          <t>Route/endpoint available: /dashboard/admin</t>
        </is>
      </c>
      <c r="E72" s="2" t="inlineStr">
        <is>
          <t>Click reset quota</t>
        </is>
      </c>
      <c r="F72" s="2" t="inlineStr">
        <is>
          <t>Monthly/lifetime counters reset for test user.</t>
        </is>
      </c>
      <c r="G72" s="2" t="inlineStr"/>
      <c r="H72" s="2" t="inlineStr"/>
      <c r="I72" s="2" t="inlineStr">
        <is>
          <t>Medium</t>
        </is>
      </c>
      <c r="J72" s="2" t="inlineStr"/>
      <c r="K72" s="2" t="inlineStr"/>
      <c r="L72" s="2" t="inlineStr"/>
      <c r="M72" s="2" t="inlineStr"/>
    </row>
    <row r="73">
      <c r="A73" s="3" t="inlineStr">
        <is>
          <t>FT-072</t>
        </is>
      </c>
      <c r="B73" s="3" t="inlineStr">
        <is>
          <t>Backend</t>
        </is>
      </c>
      <c r="C73" s="3" t="inlineStr">
        <is>
          <t>healthz endpoint</t>
        </is>
      </c>
      <c r="D73" s="3" t="inlineStr">
        <is>
          <t>Route/endpoint available: /healthz</t>
        </is>
      </c>
      <c r="E73" s="3" t="inlineStr">
        <is>
          <t>Open deployed function health URL</t>
        </is>
      </c>
      <c r="F73" s="3" t="inlineStr">
        <is>
          <t>Returns JSON ok true.</t>
        </is>
      </c>
      <c r="G73" s="3" t="inlineStr"/>
      <c r="H73" s="3" t="inlineStr"/>
      <c r="I73" s="3" t="inlineStr">
        <is>
          <t>Medium</t>
        </is>
      </c>
      <c r="J73" s="3" t="inlineStr"/>
      <c r="K73" s="3" t="inlineStr"/>
      <c r="L73" s="3" t="inlineStr"/>
      <c r="M73" s="3" t="inlineStr"/>
    </row>
    <row r="74">
      <c r="A74" s="2" t="inlineStr">
        <is>
          <t>FT-073</t>
        </is>
      </c>
      <c r="B74" s="2" t="inlineStr">
        <is>
          <t>Error Handling</t>
        </is>
      </c>
      <c r="C74" s="2" t="inlineStr">
        <is>
          <t>Rate limit message</t>
        </is>
      </c>
      <c r="D74" s="2" t="inlineStr">
        <is>
          <t>Route/endpoint available: Callable functions</t>
        </is>
      </c>
      <c r="E74" s="2" t="inlineStr">
        <is>
          <t>Rapidly trigger approved test function over limit</t>
        </is>
      </c>
      <c r="F74" s="2" t="inlineStr">
        <is>
          <t>User receives clear too-many-requests message.</t>
        </is>
      </c>
      <c r="G74" s="2" t="inlineStr"/>
      <c r="H74" s="2" t="inlineStr"/>
      <c r="I74" s="2" t="inlineStr">
        <is>
          <t>Medium</t>
        </is>
      </c>
      <c r="J74" s="2" t="inlineStr"/>
      <c r="K74" s="2" t="inlineStr"/>
      <c r="L74" s="2" t="inlineStr"/>
      <c r="M74" s="2" t="inlineStr"/>
    </row>
  </sheetData>
  <autoFilter ref="A1:M74"/>
  <conditionalFormatting sqref="H2:H500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$H2="Blocked"</formula>
    </cfRule>
    <cfRule type="expression" priority="4" dxfId="3">
      <formula>$H2="Not Tested"</formula>
    </cfRule>
  </conditionalFormatting>
  <dataValidations count="2">
    <dataValidation sqref="H2:H500" showDropDown="0" showInputMessage="0" showErrorMessage="0" allowBlank="1" type="list">
      <formula1>"Pass,Fail,Blocked,Not Tested"</formula1>
    </dataValidation>
    <dataValidation sqref="I2:I5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8" customWidth="1" min="4" max="4"/>
    <col width="18" customWidth="1" min="5" max="5"/>
    <col width="32" customWidth="1" min="6" max="6"/>
    <col width="40" customWidth="1" min="7" max="7"/>
    <col width="28" customWidth="1" min="8" max="8"/>
    <col width="18" customWidth="1" min="9" max="9"/>
    <col width="14" customWidth="1" min="10" max="10"/>
    <col width="18" customWidth="1" min="11" max="11"/>
    <col width="16" customWidth="1" min="12" max="12"/>
    <col width="28" customWidth="1" min="13" max="13"/>
  </cols>
  <sheetData>
    <row r="1">
      <c r="A1" s="1" t="inlineStr">
        <is>
          <t>Test ID</t>
        </is>
      </c>
      <c r="B1" s="1" t="inlineStr">
        <is>
          <t>Attack Category</t>
        </is>
      </c>
      <c r="C1" s="1" t="inlineStr">
        <is>
          <t>Attack Name</t>
        </is>
      </c>
      <c r="D1" s="1" t="inlineStr">
        <is>
          <t>Target (URL or Endpoint)</t>
        </is>
      </c>
      <c r="E1" s="1" t="inlineStr">
        <is>
          <t>Method</t>
        </is>
      </c>
      <c r="F1" s="1" t="inlineStr">
        <is>
          <t>Payload or Input Used</t>
        </is>
      </c>
      <c r="G1" s="1" t="inlineStr">
        <is>
          <t>Expected Behaviour</t>
        </is>
      </c>
      <c r="H1" s="1" t="inlineStr">
        <is>
          <t>Actual Behaviour</t>
        </is>
      </c>
      <c r="I1" s="1" t="inlineStr">
        <is>
          <t>Vulnerable (Y/N)</t>
        </is>
      </c>
      <c r="J1" s="1" t="inlineStr">
        <is>
          <t>Severity</t>
        </is>
      </c>
      <c r="K1" s="1" t="inlineStr">
        <is>
          <t>Tester Name</t>
        </is>
      </c>
      <c r="L1" s="1" t="inlineStr">
        <is>
          <t>Date Tested</t>
        </is>
      </c>
      <c r="M1" s="1" t="inlineStr">
        <is>
          <t>Notes</t>
        </is>
      </c>
    </row>
    <row r="2">
      <c r="A2" s="2" t="inlineStr">
        <is>
          <t>ST-001</t>
        </is>
      </c>
      <c r="B2" s="2" t="inlineStr">
        <is>
          <t>Injection</t>
        </is>
      </c>
      <c r="C2" s="2" t="inlineStr">
        <is>
          <t>SQL/NoSQL injection in contact form</t>
        </is>
      </c>
      <c r="D2" s="2" t="inlineStr">
        <is>
          <t>/contact submitContactForm</t>
        </is>
      </c>
      <c r="E2" s="2" t="inlineStr">
        <is>
          <t>Postman/Burp</t>
        </is>
      </c>
      <c r="F2" s="2" t="inlineStr">
        <is>
          <t>' OR '1'='1 in fields</t>
        </is>
      </c>
      <c r="G2" s="2" t="inlineStr">
        <is>
          <t>Input is treated as plain text and schema limits apply.</t>
        </is>
      </c>
      <c r="H2" s="2" t="inlineStr"/>
      <c r="I2" s="2" t="inlineStr"/>
      <c r="J2" s="2" t="inlineStr">
        <is>
          <t>High</t>
        </is>
      </c>
      <c r="K2" s="2" t="inlineStr"/>
      <c r="L2" s="2" t="inlineStr"/>
      <c r="M2" s="2" t="inlineStr"/>
    </row>
    <row r="3">
      <c r="A3" s="3" t="inlineStr">
        <is>
          <t>ST-002</t>
        </is>
      </c>
      <c r="B3" s="3" t="inlineStr">
        <is>
          <t>Injection</t>
        </is>
      </c>
      <c r="C3" s="3" t="inlineStr">
        <is>
          <t>Callable payload extra fields</t>
        </is>
      </c>
      <c r="D3" s="3" t="inlineStr">
        <is>
          <t>careerAnalysis</t>
        </is>
      </c>
      <c r="E3" s="3" t="inlineStr">
        <is>
          <t>Postman</t>
        </is>
      </c>
      <c r="F3" s="3" t="inlineStr">
        <is>
          <t>Add unexpected admin=true field</t>
        </is>
      </c>
      <c r="G3" s="3" t="inlineStr">
        <is>
          <t>Zod strict schema rejects invalid payload.</t>
        </is>
      </c>
      <c r="H3" s="3" t="inlineStr"/>
      <c r="I3" s="3" t="inlineStr"/>
      <c r="J3" s="3" t="inlineStr">
        <is>
          <t>Medium</t>
        </is>
      </c>
      <c r="K3" s="3" t="inlineStr"/>
      <c r="L3" s="3" t="inlineStr"/>
      <c r="M3" s="3" t="inlineStr"/>
    </row>
    <row r="4">
      <c r="A4" s="2" t="inlineStr">
        <is>
          <t>ST-003</t>
        </is>
      </c>
      <c r="B4" s="2" t="inlineStr">
        <is>
          <t>XSS</t>
        </is>
      </c>
      <c r="C4" s="2" t="inlineStr">
        <is>
          <t>Stored XSS in contact message</t>
        </is>
      </c>
      <c r="D4" s="2" t="inlineStr">
        <is>
          <t>/contact</t>
        </is>
      </c>
      <c r="E4" s="2" t="inlineStr">
        <is>
          <t>Browser/Burp</t>
        </is>
      </c>
      <c r="F4" s="2" t="inlineStr">
        <is>
          <t>&lt;script&gt;alert(1)&lt;/script&gt;</t>
        </is>
      </c>
      <c r="G4" s="2" t="inlineStr">
        <is>
          <t>Script is not executed in admin UI; content is escaped.</t>
        </is>
      </c>
      <c r="H4" s="2" t="inlineStr"/>
      <c r="I4" s="2" t="inlineStr"/>
      <c r="J4" s="2" t="inlineStr">
        <is>
          <t>High</t>
        </is>
      </c>
      <c r="K4" s="2" t="inlineStr"/>
      <c r="L4" s="2" t="inlineStr"/>
      <c r="M4" s="2" t="inlineStr"/>
    </row>
    <row r="5">
      <c r="A5" s="3" t="inlineStr">
        <is>
          <t>ST-004</t>
        </is>
      </c>
      <c r="B5" s="3" t="inlineStr">
        <is>
          <t>XSS</t>
        </is>
      </c>
      <c r="C5" s="3" t="inlineStr">
        <is>
          <t>Resume text XSS</t>
        </is>
      </c>
      <c r="D5" s="3" t="inlineStr">
        <is>
          <t>/dashboard/resume</t>
        </is>
      </c>
      <c r="E5" s="3" t="inlineStr">
        <is>
          <t>Browser</t>
        </is>
      </c>
      <c r="F5" s="3" t="inlineStr">
        <is>
          <t>&lt;img src=x onerror=alert(1)&gt;</t>
        </is>
      </c>
      <c r="G5" s="3" t="inlineStr">
        <is>
          <t>Result/history rendering does not execute script.</t>
        </is>
      </c>
      <c r="H5" s="3" t="inlineStr"/>
      <c r="I5" s="3" t="inlineStr"/>
      <c r="J5" s="3" t="inlineStr">
        <is>
          <t>High</t>
        </is>
      </c>
      <c r="K5" s="3" t="inlineStr"/>
      <c r="L5" s="3" t="inlineStr"/>
      <c r="M5" s="3" t="inlineStr"/>
    </row>
    <row r="6">
      <c r="A6" s="2" t="inlineStr">
        <is>
          <t>ST-005</t>
        </is>
      </c>
      <c r="B6" s="2" t="inlineStr">
        <is>
          <t>Broken Auth</t>
        </is>
      </c>
      <c r="C6" s="2" t="inlineStr">
        <is>
          <t>Unauthenticated callable</t>
        </is>
      </c>
      <c r="D6" s="2" t="inlineStr">
        <is>
          <t>careerAnalysis</t>
        </is>
      </c>
      <c r="E6" s="2" t="inlineStr">
        <is>
          <t>Postman</t>
        </is>
      </c>
      <c r="F6" s="2" t="inlineStr">
        <is>
          <t>No Firebase auth token</t>
        </is>
      </c>
      <c r="G6" s="2" t="inlineStr">
        <is>
          <t>Function returns unauthenticated.</t>
        </is>
      </c>
      <c r="H6" s="2" t="inlineStr"/>
      <c r="I6" s="2" t="inlineStr"/>
      <c r="J6" s="2" t="inlineStr">
        <is>
          <t>Critical</t>
        </is>
      </c>
      <c r="K6" s="2" t="inlineStr"/>
      <c r="L6" s="2" t="inlineStr"/>
      <c r="M6" s="2" t="inlineStr"/>
    </row>
    <row r="7">
      <c r="A7" s="3" t="inlineStr">
        <is>
          <t>ST-006</t>
        </is>
      </c>
      <c r="B7" s="3" t="inlineStr">
        <is>
          <t>Broken Auth</t>
        </is>
      </c>
      <c r="C7" s="3" t="inlineStr">
        <is>
          <t>Unverified email callable</t>
        </is>
      </c>
      <c r="D7" s="3" t="inlineStr">
        <is>
          <t>careerAnalysis</t>
        </is>
      </c>
      <c r="E7" s="3" t="inlineStr">
        <is>
          <t>Postman</t>
        </is>
      </c>
      <c r="F7" s="3" t="inlineStr">
        <is>
          <t>Token for unverified account</t>
        </is>
      </c>
      <c r="G7" s="3" t="inlineStr">
        <is>
          <t>Function returns permission-denied.</t>
        </is>
      </c>
      <c r="H7" s="3" t="inlineStr"/>
      <c r="I7" s="3" t="inlineStr"/>
      <c r="J7" s="3" t="inlineStr">
        <is>
          <t>High</t>
        </is>
      </c>
      <c r="K7" s="3" t="inlineStr"/>
      <c r="L7" s="3" t="inlineStr"/>
      <c r="M7" s="3" t="inlineStr"/>
    </row>
    <row r="8">
      <c r="A8" s="2" t="inlineStr">
        <is>
          <t>ST-007</t>
        </is>
      </c>
      <c r="B8" s="2" t="inlineStr">
        <is>
          <t>Broken Auth</t>
        </is>
      </c>
      <c r="C8" s="2" t="inlineStr">
        <is>
          <t>Protected route direct access</t>
        </is>
      </c>
      <c r="D8" s="2" t="inlineStr">
        <is>
          <t>/dashboard</t>
        </is>
      </c>
      <c r="E8" s="2" t="inlineStr">
        <is>
          <t>Browser</t>
        </is>
      </c>
      <c r="F8" s="2" t="inlineStr">
        <is>
          <t>Signed out browser</t>
        </is>
      </c>
      <c r="G8" s="2" t="inlineStr">
        <is>
          <t>Redirects to auth.</t>
        </is>
      </c>
      <c r="H8" s="2" t="inlineStr"/>
      <c r="I8" s="2" t="inlineStr"/>
      <c r="J8" s="2" t="inlineStr">
        <is>
          <t>High</t>
        </is>
      </c>
      <c r="K8" s="2" t="inlineStr"/>
      <c r="L8" s="2" t="inlineStr"/>
      <c r="M8" s="2" t="inlineStr"/>
    </row>
    <row r="9">
      <c r="A9" s="3" t="inlineStr">
        <is>
          <t>ST-008</t>
        </is>
      </c>
      <c r="B9" s="3" t="inlineStr">
        <is>
          <t>IDOR</t>
        </is>
      </c>
      <c r="C9" s="3" t="inlineStr">
        <is>
          <t>Read another user's analysis</t>
        </is>
      </c>
      <c r="D9" s="3" t="inlineStr">
        <is>
          <t>analysis_results/{id}</t>
        </is>
      </c>
      <c r="E9" s="3" t="inlineStr">
        <is>
          <t>Console/Postman</t>
        </is>
      </c>
      <c r="F9" s="3" t="inlineStr">
        <is>
          <t>Use another user's doc ID</t>
        </is>
      </c>
      <c r="G9" s="3" t="inlineStr">
        <is>
          <t>Firestore rules deny read.</t>
        </is>
      </c>
      <c r="H9" s="3" t="inlineStr"/>
      <c r="I9" s="3" t="inlineStr"/>
      <c r="J9" s="3" t="inlineStr">
        <is>
          <t>Critical</t>
        </is>
      </c>
      <c r="K9" s="3" t="inlineStr"/>
      <c r="L9" s="3" t="inlineStr"/>
      <c r="M9" s="3" t="inlineStr"/>
    </row>
    <row r="10">
      <c r="A10" s="2" t="inlineStr">
        <is>
          <t>ST-009</t>
        </is>
      </c>
      <c r="B10" s="2" t="inlineStr">
        <is>
          <t>IDOR</t>
        </is>
      </c>
      <c r="C10" s="2" t="inlineStr">
        <is>
          <t>LinkedIn optimize another analysis</t>
        </is>
      </c>
      <c r="D10" s="2" t="inlineStr">
        <is>
          <t>linkedinOptimize</t>
        </is>
      </c>
      <c r="E10" s="2" t="inlineStr">
        <is>
          <t>Postman/Burp</t>
        </is>
      </c>
      <c r="F10" s="2" t="inlineStr">
        <is>
          <t>analysisId owned by another user</t>
        </is>
      </c>
      <c r="G10" s="2" t="inlineStr">
        <is>
          <t>Function returns permission-denied.</t>
        </is>
      </c>
      <c r="H10" s="2" t="inlineStr"/>
      <c r="I10" s="2" t="inlineStr"/>
      <c r="J10" s="2" t="inlineStr">
        <is>
          <t>Critical</t>
        </is>
      </c>
      <c r="K10" s="2" t="inlineStr"/>
      <c r="L10" s="2" t="inlineStr"/>
      <c r="M10" s="2" t="inlineStr"/>
    </row>
    <row r="11">
      <c r="A11" s="3" t="inlineStr">
        <is>
          <t>ST-010</t>
        </is>
      </c>
      <c r="B11" s="3" t="inlineStr">
        <is>
          <t>IDOR</t>
        </is>
      </c>
      <c r="C11" s="3" t="inlineStr">
        <is>
          <t>Read another user plan</t>
        </is>
      </c>
      <c r="D11" s="3" t="inlineStr">
        <is>
          <t>user_plans/{uid}</t>
        </is>
      </c>
      <c r="E11" s="3" t="inlineStr">
        <is>
          <t>Console</t>
        </is>
      </c>
      <c r="F11" s="3" t="inlineStr">
        <is>
          <t>getDoc for another uid</t>
        </is>
      </c>
      <c r="G11" s="3" t="inlineStr">
        <is>
          <t>Firestore rules deny unless admin.</t>
        </is>
      </c>
      <c r="H11" s="3" t="inlineStr"/>
      <c r="I11" s="3" t="inlineStr"/>
      <c r="J11" s="3" t="inlineStr">
        <is>
          <t>Critical</t>
        </is>
      </c>
      <c r="K11" s="3" t="inlineStr"/>
      <c r="L11" s="3" t="inlineStr"/>
      <c r="M11" s="3" t="inlineStr"/>
    </row>
    <row r="12">
      <c r="A12" s="2" t="inlineStr">
        <is>
          <t>ST-011</t>
        </is>
      </c>
      <c r="B12" s="2" t="inlineStr">
        <is>
          <t>Access Control</t>
        </is>
      </c>
      <c r="C12" s="2" t="inlineStr">
        <is>
          <t>Normal user open admin route</t>
        </is>
      </c>
      <c r="D12" s="2" t="inlineStr">
        <is>
          <t>/dashboard/admin</t>
        </is>
      </c>
      <c r="E12" s="2" t="inlineStr">
        <is>
          <t>Browser</t>
        </is>
      </c>
      <c r="F12" s="2" t="inlineStr">
        <is>
          <t>Normal verified account</t>
        </is>
      </c>
      <c r="G12" s="2" t="inlineStr">
        <is>
          <t>AdminRoute blocks access.</t>
        </is>
      </c>
      <c r="H12" s="2" t="inlineStr"/>
      <c r="I12" s="2" t="inlineStr"/>
      <c r="J12" s="2" t="inlineStr">
        <is>
          <t>High</t>
        </is>
      </c>
      <c r="K12" s="2" t="inlineStr"/>
      <c r="L12" s="2" t="inlineStr"/>
      <c r="M12" s="2" t="inlineStr"/>
    </row>
    <row r="13">
      <c r="A13" s="3" t="inlineStr">
        <is>
          <t>ST-012</t>
        </is>
      </c>
      <c r="B13" s="3" t="inlineStr">
        <is>
          <t>Access Control</t>
        </is>
      </c>
      <c r="C13" s="3" t="inlineStr">
        <is>
          <t>Normal user call adminUpdateUser</t>
        </is>
      </c>
      <c r="D13" s="3" t="inlineStr">
        <is>
          <t>adminUpdateUser</t>
        </is>
      </c>
      <c r="E13" s="3" t="inlineStr">
        <is>
          <t>Postman</t>
        </is>
      </c>
      <c r="F13" s="3" t="inlineStr">
        <is>
          <t>targetUserId of test user</t>
        </is>
      </c>
      <c r="G13" s="3" t="inlineStr">
        <is>
          <t>Function requires admin and denies.</t>
        </is>
      </c>
      <c r="H13" s="3" t="inlineStr"/>
      <c r="I13" s="3" t="inlineStr"/>
      <c r="J13" s="3" t="inlineStr">
        <is>
          <t>Critical</t>
        </is>
      </c>
      <c r="K13" s="3" t="inlineStr"/>
      <c r="L13" s="3" t="inlineStr"/>
      <c r="M13" s="3" t="inlineStr"/>
    </row>
    <row r="14">
      <c r="A14" s="2" t="inlineStr">
        <is>
          <t>ST-013</t>
        </is>
      </c>
      <c r="B14" s="2" t="inlineStr">
        <is>
          <t>API Key Exposure</t>
        </is>
      </c>
      <c r="C14" s="2" t="inlineStr">
        <is>
          <t>Frontend bundle secret scan</t>
        </is>
      </c>
      <c r="D14" s="2" t="inlineStr">
        <is>
          <t>dist/assets or source</t>
        </is>
      </c>
      <c r="E14" s="2" t="inlineStr">
        <is>
          <t>rg/DevTools</t>
        </is>
      </c>
      <c r="F14" s="2" t="inlineStr">
        <is>
          <t>Search GEMINI_API_KEY, RAZORPAY_KEY_SECRET, SMTP_PASSWORD</t>
        </is>
      </c>
      <c r="G14" s="2" t="inlineStr">
        <is>
          <t>No server secrets exposed in client bundle.</t>
        </is>
      </c>
      <c r="H14" s="2" t="inlineStr"/>
      <c r="I14" s="2" t="inlineStr"/>
      <c r="J14" s="2" t="inlineStr">
        <is>
          <t>Critical</t>
        </is>
      </c>
      <c r="K14" s="2" t="inlineStr"/>
      <c r="L14" s="2" t="inlineStr"/>
      <c r="M14" s="2" t="inlineStr"/>
    </row>
    <row r="15">
      <c r="A15" s="3" t="inlineStr">
        <is>
          <t>ST-014</t>
        </is>
      </c>
      <c r="B15" s="3" t="inlineStr">
        <is>
          <t>API Key Exposure</t>
        </is>
      </c>
      <c r="C15" s="3" t="inlineStr">
        <is>
          <t>Firebase public config only</t>
        </is>
      </c>
      <c r="D15" s="3" t="inlineStr">
        <is>
          <t>.env.example/client bundle</t>
        </is>
      </c>
      <c r="E15" s="3" t="inlineStr">
        <is>
          <t>Manual</t>
        </is>
      </c>
      <c r="F15" s="3" t="inlineStr">
        <is>
          <t>Inspect VITE_ variables</t>
        </is>
      </c>
      <c r="G15" s="3" t="inlineStr">
        <is>
          <t>Only public Firebase client config is present.</t>
        </is>
      </c>
      <c r="H15" s="3" t="inlineStr"/>
      <c r="I15" s="3" t="inlineStr"/>
      <c r="J15" s="3" t="inlineStr">
        <is>
          <t>Medium</t>
        </is>
      </c>
      <c r="K15" s="3" t="inlineStr"/>
      <c r="L15" s="3" t="inlineStr"/>
      <c r="M15" s="3" t="inlineStr"/>
    </row>
    <row r="16">
      <c r="A16" s="2" t="inlineStr">
        <is>
          <t>ST-015</t>
        </is>
      </c>
      <c r="B16" s="2" t="inlineStr">
        <is>
          <t>Payment Bypass</t>
        </is>
      </c>
      <c r="C16" s="2" t="inlineStr">
        <is>
          <t>Client write plan to Pro</t>
        </is>
      </c>
      <c r="D16" s="2" t="inlineStr">
        <is>
          <t>user_plans/{uid}</t>
        </is>
      </c>
      <c r="E16" s="2" t="inlineStr">
        <is>
          <t>Console</t>
        </is>
      </c>
      <c r="F16" s="2" t="inlineStr">
        <is>
          <t>setDoc plan_type='pro'</t>
        </is>
      </c>
      <c r="G16" s="2" t="inlineStr">
        <is>
          <t>Firestore denies client write.</t>
        </is>
      </c>
      <c r="H16" s="2" t="inlineStr"/>
      <c r="I16" s="2" t="inlineStr"/>
      <c r="J16" s="2" t="inlineStr">
        <is>
          <t>Critical</t>
        </is>
      </c>
      <c r="K16" s="2" t="inlineStr"/>
      <c r="L16" s="2" t="inlineStr"/>
      <c r="M16" s="2" t="inlineStr"/>
    </row>
    <row r="17">
      <c r="A17" s="3" t="inlineStr">
        <is>
          <t>ST-016</t>
        </is>
      </c>
      <c r="B17" s="3" t="inlineStr">
        <is>
          <t>Payment Bypass</t>
        </is>
      </c>
      <c r="C17" s="3" t="inlineStr">
        <is>
          <t>Tamper checkout amount</t>
        </is>
      </c>
      <c r="D17" s="3" t="inlineStr">
        <is>
          <t>createPaymentOrder</t>
        </is>
      </c>
      <c r="E17" s="3" t="inlineStr">
        <is>
          <t>Burp</t>
        </is>
      </c>
      <c r="F17" s="3" t="inlineStr">
        <is>
          <t>Send amount=1 with planType=pro</t>
        </is>
      </c>
      <c r="G17" s="3" t="inlineStr">
        <is>
          <t>Function ignores client amount and uses server price.</t>
        </is>
      </c>
      <c r="H17" s="3" t="inlineStr"/>
      <c r="I17" s="3" t="inlineStr"/>
      <c r="J17" s="3" t="inlineStr">
        <is>
          <t>Critical</t>
        </is>
      </c>
      <c r="K17" s="3" t="inlineStr"/>
      <c r="L17" s="3" t="inlineStr"/>
      <c r="M17" s="3" t="inlineStr"/>
    </row>
    <row r="18">
      <c r="A18" s="2" t="inlineStr">
        <is>
          <t>ST-017</t>
        </is>
      </c>
      <c r="B18" s="2" t="inlineStr">
        <is>
          <t>Payment Bypass</t>
        </is>
      </c>
      <c r="C18" s="2" t="inlineStr">
        <is>
          <t>Invalid plan type</t>
        </is>
      </c>
      <c r="D18" s="2" t="inlineStr">
        <is>
          <t>createPaymentOrder</t>
        </is>
      </c>
      <c r="E18" s="2" t="inlineStr">
        <is>
          <t>Postman</t>
        </is>
      </c>
      <c r="F18" s="2" t="inlineStr">
        <is>
          <t>planType='enterprise'</t>
        </is>
      </c>
      <c r="G18" s="2" t="inlineStr">
        <is>
          <t>Schema rejects invalid plan.</t>
        </is>
      </c>
      <c r="H18" s="2" t="inlineStr"/>
      <c r="I18" s="2" t="inlineStr"/>
      <c r="J18" s="2" t="inlineStr">
        <is>
          <t>High</t>
        </is>
      </c>
      <c r="K18" s="2" t="inlineStr"/>
      <c r="L18" s="2" t="inlineStr"/>
      <c r="M18" s="2" t="inlineStr"/>
    </row>
    <row r="19">
      <c r="A19" s="3" t="inlineStr">
        <is>
          <t>ST-018</t>
        </is>
      </c>
      <c r="B19" s="3" t="inlineStr">
        <is>
          <t>Payment Bypass</t>
        </is>
      </c>
      <c r="C19" s="3" t="inlineStr">
        <is>
          <t>Fake webhook unsigned</t>
        </is>
      </c>
      <c r="D19" s="3" t="inlineStr">
        <is>
          <t>razorpayWebhook</t>
        </is>
      </c>
      <c r="E19" s="3" t="inlineStr">
        <is>
          <t>Postman</t>
        </is>
      </c>
      <c r="F19" s="3" t="inlineStr">
        <is>
          <t>POST without signature</t>
        </is>
      </c>
      <c r="G19" s="3" t="inlineStr">
        <is>
          <t>HTTP 400 Invalid signature.</t>
        </is>
      </c>
      <c r="H19" s="3" t="inlineStr"/>
      <c r="I19" s="3" t="inlineStr"/>
      <c r="J19" s="3" t="inlineStr">
        <is>
          <t>Critical</t>
        </is>
      </c>
      <c r="K19" s="3" t="inlineStr"/>
      <c r="L19" s="3" t="inlineStr"/>
      <c r="M19" s="3" t="inlineStr"/>
    </row>
    <row r="20">
      <c r="A20" s="2" t="inlineStr">
        <is>
          <t>ST-019</t>
        </is>
      </c>
      <c r="B20" s="2" t="inlineStr">
        <is>
          <t>Payment Bypass</t>
        </is>
      </c>
      <c r="C20" s="2" t="inlineStr">
        <is>
          <t>Webhook amount mismatch</t>
        </is>
      </c>
      <c r="D20" s="2" t="inlineStr">
        <is>
          <t>razorpayWebhook</t>
        </is>
      </c>
      <c r="E20" s="2" t="inlineStr">
        <is>
          <t>Postman/Razorpay test</t>
        </is>
      </c>
      <c r="F20" s="2" t="inlineStr">
        <is>
          <t>Captured event with wrong amount</t>
        </is>
      </c>
      <c r="G20" s="2" t="inlineStr">
        <is>
          <t>Order marked amount_mismatch and plan not granted.</t>
        </is>
      </c>
      <c r="H20" s="2" t="inlineStr"/>
      <c r="I20" s="2" t="inlineStr"/>
      <c r="J20" s="2" t="inlineStr">
        <is>
          <t>Critical</t>
        </is>
      </c>
      <c r="K20" s="2" t="inlineStr"/>
      <c r="L20" s="2" t="inlineStr"/>
      <c r="M20" s="2" t="inlineStr"/>
    </row>
    <row r="21">
      <c r="A21" s="3" t="inlineStr">
        <is>
          <t>ST-020</t>
        </is>
      </c>
      <c r="B21" s="3" t="inlineStr">
        <is>
          <t>Payment Bypass</t>
        </is>
      </c>
      <c r="C21" s="3" t="inlineStr">
        <is>
          <t>Replay webhook event</t>
        </is>
      </c>
      <c r="D21" s="3" t="inlineStr">
        <is>
          <t>razorpayWebhook</t>
        </is>
      </c>
      <c r="E21" s="3" t="inlineStr">
        <is>
          <t>Postman/Razorpay test</t>
        </is>
      </c>
      <c r="F21" s="3" t="inlineStr">
        <is>
          <t>Send same valid event twice</t>
        </is>
      </c>
      <c r="G21" s="3" t="inlineStr">
        <is>
          <t>payment_events idempotency prevents double processing.</t>
        </is>
      </c>
      <c r="H21" s="3" t="inlineStr"/>
      <c r="I21" s="3" t="inlineStr"/>
      <c r="J21" s="3" t="inlineStr">
        <is>
          <t>High</t>
        </is>
      </c>
      <c r="K21" s="3" t="inlineStr"/>
      <c r="L21" s="3" t="inlineStr"/>
      <c r="M21" s="3" t="inlineStr"/>
    </row>
    <row r="22">
      <c r="A22" s="2" t="inlineStr">
        <is>
          <t>ST-021</t>
        </is>
      </c>
      <c r="B22" s="2" t="inlineStr">
        <is>
          <t>Rate Limit</t>
        </is>
      </c>
      <c r="C22" s="2" t="inlineStr">
        <is>
          <t>careerAnalysis rate limit</t>
        </is>
      </c>
      <c r="D22" s="2" t="inlineStr">
        <is>
          <t>careerAnalysis</t>
        </is>
      </c>
      <c r="E22" s="2" t="inlineStr">
        <is>
          <t>Postman</t>
        </is>
      </c>
      <c r="F22" s="2" t="inlineStr">
        <is>
          <t>&gt;10 requests/minute</t>
        </is>
      </c>
      <c r="G22" s="2" t="inlineStr">
        <is>
          <t>Function returns resource-exhausted.</t>
        </is>
      </c>
      <c r="H22" s="2" t="inlineStr"/>
      <c r="I22" s="2" t="inlineStr"/>
      <c r="J22" s="2" t="inlineStr">
        <is>
          <t>High</t>
        </is>
      </c>
      <c r="K22" s="2" t="inlineStr"/>
      <c r="L22" s="2" t="inlineStr"/>
      <c r="M22" s="2" t="inlineStr"/>
    </row>
    <row r="23">
      <c r="A23" s="3" t="inlineStr">
        <is>
          <t>ST-022</t>
        </is>
      </c>
      <c r="B23" s="3" t="inlineStr">
        <is>
          <t>Rate Limit</t>
        </is>
      </c>
      <c r="C23" s="3" t="inlineStr">
        <is>
          <t>contact form rate limit</t>
        </is>
      </c>
      <c r="D23" s="3" t="inlineStr">
        <is>
          <t>submitContactForm</t>
        </is>
      </c>
      <c r="E23" s="3" t="inlineStr">
        <is>
          <t>Postman</t>
        </is>
      </c>
      <c r="F23" s="3" t="inlineStr">
        <is>
          <t>&gt;3 requests/hour/IP</t>
        </is>
      </c>
      <c r="G23" s="3" t="inlineStr">
        <is>
          <t>Function returns too many requests.</t>
        </is>
      </c>
      <c r="H23" s="3" t="inlineStr"/>
      <c r="I23" s="3" t="inlineStr"/>
      <c r="J23" s="3" t="inlineStr">
        <is>
          <t>Medium</t>
        </is>
      </c>
      <c r="K23" s="3" t="inlineStr"/>
      <c r="L23" s="3" t="inlineStr"/>
      <c r="M23" s="3" t="inlineStr"/>
    </row>
    <row r="24">
      <c r="A24" s="2" t="inlineStr">
        <is>
          <t>ST-023</t>
        </is>
      </c>
      <c r="B24" s="2" t="inlineStr">
        <is>
          <t>Rate Limit</t>
        </is>
      </c>
      <c r="C24" s="2" t="inlineStr">
        <is>
          <t>coupon brute force</t>
        </is>
      </c>
      <c r="D24" s="2" t="inlineStr">
        <is>
          <t>applyCoupon</t>
        </is>
      </c>
      <c r="E24" s="2" t="inlineStr">
        <is>
          <t>Burp</t>
        </is>
      </c>
      <c r="F24" s="2" t="inlineStr">
        <is>
          <t>Many coupon guesses</t>
        </is>
      </c>
      <c r="G24" s="2" t="inlineStr">
        <is>
          <t>Rate limit blocks repeated attempts.</t>
        </is>
      </c>
      <c r="H24" s="2" t="inlineStr"/>
      <c r="I24" s="2" t="inlineStr"/>
      <c r="J24" s="2" t="inlineStr">
        <is>
          <t>Medium</t>
        </is>
      </c>
      <c r="K24" s="2" t="inlineStr"/>
      <c r="L24" s="2" t="inlineStr"/>
      <c r="M24" s="2" t="inlineStr"/>
    </row>
    <row r="25">
      <c r="A25" s="3" t="inlineStr">
        <is>
          <t>ST-024</t>
        </is>
      </c>
      <c r="B25" s="3" t="inlineStr">
        <is>
          <t>CSRF</t>
        </is>
      </c>
      <c r="C25" s="3" t="inlineStr">
        <is>
          <t>Callable from foreign site</t>
        </is>
      </c>
      <c r="D25" s="3" t="inlineStr">
        <is>
          <t>Firebase callable</t>
        </is>
      </c>
      <c r="E25" s="3" t="inlineStr">
        <is>
          <t>Manual</t>
        </is>
      </c>
      <c r="F25" s="3" t="inlineStr">
        <is>
          <t>Attempt cross-site unauthenticated call</t>
        </is>
      </c>
      <c r="G25" s="3" t="inlineStr">
        <is>
          <t>Auth token required; no sensitive action without valid token.</t>
        </is>
      </c>
      <c r="H25" s="3" t="inlineStr"/>
      <c r="I25" s="3" t="inlineStr"/>
      <c r="J25" s="3" t="inlineStr">
        <is>
          <t>Medium</t>
        </is>
      </c>
      <c r="K25" s="3" t="inlineStr"/>
      <c r="L25" s="3" t="inlineStr"/>
      <c r="M25" s="3" t="inlineStr"/>
    </row>
    <row r="26">
      <c r="A26" s="2" t="inlineStr">
        <is>
          <t>ST-025</t>
        </is>
      </c>
      <c r="B26" s="2" t="inlineStr">
        <is>
          <t>Sensitive Data</t>
        </is>
      </c>
      <c r="C26" s="2" t="inlineStr">
        <is>
          <t>Analysis response leakage</t>
        </is>
      </c>
      <c r="D26" s="2" t="inlineStr">
        <is>
          <t>careerAnalysis</t>
        </is>
      </c>
      <c r="E26" s="2" t="inlineStr">
        <is>
          <t>DevTools</t>
        </is>
      </c>
      <c r="F26" s="2" t="inlineStr">
        <is>
          <t>Inspect response body</t>
        </is>
      </c>
      <c r="G26" s="2" t="inlineStr">
        <is>
          <t>Only current user's result is returned; no secrets or other user data.</t>
        </is>
      </c>
      <c r="H26" s="2" t="inlineStr"/>
      <c r="I26" s="2" t="inlineStr"/>
      <c r="J26" s="2" t="inlineStr">
        <is>
          <t>Critical</t>
        </is>
      </c>
      <c r="K26" s="2" t="inlineStr"/>
      <c r="L26" s="2" t="inlineStr"/>
      <c r="M26" s="2" t="inlineStr"/>
    </row>
    <row r="27">
      <c r="A27" s="3" t="inlineStr">
        <is>
          <t>ST-026</t>
        </is>
      </c>
      <c r="B27" s="3" t="inlineStr">
        <is>
          <t>Sensitive Data</t>
        </is>
      </c>
      <c r="C27" s="3" t="inlineStr">
        <is>
          <t>Error message leakage</t>
        </is>
      </c>
      <c r="D27" s="3" t="inlineStr">
        <is>
          <t>Functions errors</t>
        </is>
      </c>
      <c r="E27" s="3" t="inlineStr">
        <is>
          <t>Postman</t>
        </is>
      </c>
      <c r="F27" s="3" t="inlineStr">
        <is>
          <t>Cause backend provider error</t>
        </is>
      </c>
      <c r="G27" s="3" t="inlineStr">
        <is>
          <t>safeError hides stack/secrets.</t>
        </is>
      </c>
      <c r="H27" s="3" t="inlineStr"/>
      <c r="I27" s="3" t="inlineStr"/>
      <c r="J27" s="3" t="inlineStr">
        <is>
          <t>High</t>
        </is>
      </c>
      <c r="K27" s="3" t="inlineStr"/>
      <c r="L27" s="3" t="inlineStr"/>
      <c r="M27" s="3" t="inlineStr"/>
    </row>
    <row r="28">
      <c r="A28" s="2" t="inlineStr">
        <is>
          <t>ST-027</t>
        </is>
      </c>
      <c r="B28" s="2" t="inlineStr">
        <is>
          <t>Sensitive Data</t>
        </is>
      </c>
      <c r="C28" s="2" t="inlineStr">
        <is>
          <t>Admin data visible to normal user</t>
        </is>
      </c>
      <c r="D28" s="2" t="inlineStr">
        <is>
          <t>/dashboard/admin/Firestore</t>
        </is>
      </c>
      <c r="E28" s="2" t="inlineStr">
        <is>
          <t>Browser</t>
        </is>
      </c>
      <c r="F28" s="2" t="inlineStr">
        <is>
          <t>Normal account</t>
        </is>
      </c>
      <c r="G28" s="2" t="inlineStr">
        <is>
          <t>Rules/route deny operational collections.</t>
        </is>
      </c>
      <c r="H28" s="2" t="inlineStr"/>
      <c r="I28" s="2" t="inlineStr"/>
      <c r="J28" s="2" t="inlineStr">
        <is>
          <t>Critical</t>
        </is>
      </c>
      <c r="K28" s="2" t="inlineStr"/>
      <c r="L28" s="2" t="inlineStr"/>
      <c r="M28" s="2" t="inlineStr"/>
    </row>
    <row r="29">
      <c r="A29" s="3" t="inlineStr">
        <is>
          <t>ST-028</t>
        </is>
      </c>
      <c r="B29" s="3" t="inlineStr">
        <is>
          <t>Input Validation</t>
        </is>
      </c>
      <c r="C29" s="3" t="inlineStr">
        <is>
          <t>Oversized resume text</t>
        </is>
      </c>
      <c r="D29" s="3" t="inlineStr">
        <is>
          <t>careerAnalysis</t>
        </is>
      </c>
      <c r="E29" s="3" t="inlineStr">
        <is>
          <t>Postman</t>
        </is>
      </c>
      <c r="F29" s="3" t="inlineStr">
        <is>
          <t>resume_text &gt;120000 chars</t>
        </is>
      </c>
      <c r="G29" s="3" t="inlineStr">
        <is>
          <t>Schema rejects payload.</t>
        </is>
      </c>
      <c r="H29" s="3" t="inlineStr"/>
      <c r="I29" s="3" t="inlineStr"/>
      <c r="J29" s="3" t="inlineStr">
        <is>
          <t>Medium</t>
        </is>
      </c>
      <c r="K29" s="3" t="inlineStr"/>
      <c r="L29" s="3" t="inlineStr"/>
      <c r="M29" s="3" t="inlineStr"/>
    </row>
    <row r="30">
      <c r="A30" s="2" t="inlineStr">
        <is>
          <t>ST-029</t>
        </is>
      </c>
      <c r="B30" s="2" t="inlineStr">
        <is>
          <t>Input Validation</t>
        </is>
      </c>
      <c r="C30" s="2" t="inlineStr">
        <is>
          <t>Oversized PDF</t>
        </is>
      </c>
      <c r="D30" s="2" t="inlineStr">
        <is>
          <t>extractPdf</t>
        </is>
      </c>
      <c r="E30" s="2" t="inlineStr">
        <is>
          <t>Postman</t>
        </is>
      </c>
      <c r="F30" s="2" t="inlineStr">
        <is>
          <t>pdf_base64 &gt;12MB</t>
        </is>
      </c>
      <c r="G30" s="2" t="inlineStr">
        <is>
          <t>Schema rejects payload.</t>
        </is>
      </c>
      <c r="H30" s="2" t="inlineStr"/>
      <c r="I30" s="2" t="inlineStr"/>
      <c r="J30" s="2" t="inlineStr">
        <is>
          <t>Medium</t>
        </is>
      </c>
      <c r="K30" s="2" t="inlineStr"/>
      <c r="L30" s="2" t="inlineStr"/>
      <c r="M30" s="2" t="inlineStr"/>
    </row>
    <row r="31">
      <c r="A31" s="3" t="inlineStr">
        <is>
          <t>ST-030</t>
        </is>
      </c>
      <c r="B31" s="3" t="inlineStr">
        <is>
          <t>Input Validation</t>
        </is>
      </c>
      <c r="C31" s="3" t="inlineStr">
        <is>
          <t>Malformed missing_skills</t>
        </is>
      </c>
      <c r="D31" s="3" t="inlineStr">
        <is>
          <t>careerAnalysis roadmap</t>
        </is>
      </c>
      <c r="E31" s="3" t="inlineStr">
        <is>
          <t>Postman</t>
        </is>
      </c>
      <c r="F31" s="3" t="inlineStr">
        <is>
          <t>missing_skills as string</t>
        </is>
      </c>
      <c r="G31" s="3" t="inlineStr">
        <is>
          <t>Schema rejects payload.</t>
        </is>
      </c>
      <c r="H31" s="3" t="inlineStr"/>
      <c r="I31" s="3" t="inlineStr"/>
      <c r="J31" s="3" t="inlineStr">
        <is>
          <t>Medium</t>
        </is>
      </c>
      <c r="K31" s="3" t="inlineStr"/>
      <c r="L31" s="3" t="inlineStr"/>
      <c r="M31" s="3" t="inlineStr"/>
    </row>
    <row r="32">
      <c r="A32" s="2" t="inlineStr">
        <is>
          <t>ST-031</t>
        </is>
      </c>
      <c r="B32" s="2" t="inlineStr">
        <is>
          <t>Business Logic</t>
        </is>
      </c>
      <c r="C32" s="2" t="inlineStr">
        <is>
          <t>Free resume rebuild</t>
        </is>
      </c>
      <c r="D32" s="2" t="inlineStr">
        <is>
          <t>careerAnalysis resume_rebuild</t>
        </is>
      </c>
      <c r="E32" s="2" t="inlineStr">
        <is>
          <t>Postman</t>
        </is>
      </c>
      <c r="F32" s="2" t="inlineStr">
        <is>
          <t>Free user resume_rebuild</t>
        </is>
      </c>
      <c r="G32" s="2" t="inlineStr">
        <is>
          <t>Function blocks Starter/Pro-only feature.</t>
        </is>
      </c>
      <c r="H32" s="2" t="inlineStr"/>
      <c r="I32" s="2" t="inlineStr"/>
      <c r="J32" s="2" t="inlineStr">
        <is>
          <t>High</t>
        </is>
      </c>
      <c r="K32" s="2" t="inlineStr"/>
      <c r="L32" s="2" t="inlineStr"/>
      <c r="M32" s="2" t="inlineStr"/>
    </row>
    <row r="33">
      <c r="A33" s="3" t="inlineStr">
        <is>
          <t>ST-032</t>
        </is>
      </c>
      <c r="B33" s="3" t="inlineStr">
        <is>
          <t>Business Logic</t>
        </is>
      </c>
      <c r="C33" s="3" t="inlineStr">
        <is>
          <t>Free quota exhaustion</t>
        </is>
      </c>
      <c r="D33" s="3" t="inlineStr">
        <is>
          <t>checkUsage/careerAnalysis</t>
        </is>
      </c>
      <c r="E33" s="3" t="inlineStr">
        <is>
          <t>Browser</t>
        </is>
      </c>
      <c r="F33" s="3" t="inlineStr">
        <is>
          <t>Run beyond free lifetime limit</t>
        </is>
      </c>
      <c r="G33" s="3" t="inlineStr">
        <is>
          <t>Further calls are blocked.</t>
        </is>
      </c>
      <c r="H33" s="3" t="inlineStr"/>
      <c r="I33" s="3" t="inlineStr"/>
      <c r="J33" s="3" t="inlineStr">
        <is>
          <t>High</t>
        </is>
      </c>
      <c r="K33" s="3" t="inlineStr"/>
      <c r="L33" s="3" t="inlineStr"/>
      <c r="M33" s="3" t="inlineStr"/>
    </row>
    <row r="34">
      <c r="A34" s="2" t="inlineStr">
        <is>
          <t>ST-033</t>
        </is>
      </c>
      <c r="B34" s="2" t="inlineStr">
        <is>
          <t>Business Logic</t>
        </is>
      </c>
      <c r="C34" s="2" t="inlineStr">
        <is>
          <t>Expired trial access</t>
        </is>
      </c>
      <c r="D34" s="2" t="inlineStr">
        <is>
          <t>careerAnalysis</t>
        </is>
      </c>
      <c r="E34" s="2" t="inlineStr">
        <is>
          <t>Manual test data</t>
        </is>
      </c>
      <c r="F34" s="2" t="inlineStr">
        <is>
          <t>Set trialExpiresAt in past</t>
        </is>
      </c>
      <c r="G34" s="2" t="inlineStr">
        <is>
          <t>Function downgrades/blocks trial access.</t>
        </is>
      </c>
      <c r="H34" s="2" t="inlineStr"/>
      <c r="I34" s="2" t="inlineStr"/>
      <c r="J34" s="2" t="inlineStr">
        <is>
          <t>High</t>
        </is>
      </c>
      <c r="K34" s="2" t="inlineStr"/>
      <c r="L34" s="2" t="inlineStr"/>
      <c r="M34" s="2" t="inlineStr"/>
    </row>
    <row r="35">
      <c r="A35" s="3" t="inlineStr">
        <is>
          <t>ST-034</t>
        </is>
      </c>
      <c r="B35" s="3" t="inlineStr">
        <is>
          <t>Data Deletion</t>
        </is>
      </c>
      <c r="C35" s="3" t="inlineStr">
        <is>
          <t>Delete account ownership</t>
        </is>
      </c>
      <c r="D35" s="3" t="inlineStr">
        <is>
          <t>deleteMyAccount</t>
        </is>
      </c>
      <c r="E35" s="3" t="inlineStr">
        <is>
          <t>Postman</t>
        </is>
      </c>
      <c r="F35" s="3" t="inlineStr">
        <is>
          <t>Try deleting another user</t>
        </is>
      </c>
      <c r="G35" s="3" t="inlineStr">
        <is>
          <t>Function deletes only authenticated user.</t>
        </is>
      </c>
      <c r="H35" s="3" t="inlineStr"/>
      <c r="I35" s="3" t="inlineStr"/>
      <c r="J35" s="3" t="inlineStr">
        <is>
          <t>Critical</t>
        </is>
      </c>
      <c r="K35" s="3" t="inlineStr"/>
      <c r="L35" s="3" t="inlineStr"/>
      <c r="M35" s="3" t="inlineStr"/>
    </row>
    <row r="36">
      <c r="A36" s="2" t="inlineStr">
        <is>
          <t>ST-035</t>
        </is>
      </c>
      <c r="B36" s="2" t="inlineStr">
        <is>
          <t>Security Headers</t>
        </is>
      </c>
      <c r="C36" s="2" t="inlineStr">
        <is>
          <t>Hosting headers</t>
        </is>
      </c>
      <c r="D36" s="2" t="inlineStr">
        <is>
          <t>Firebase Hosting</t>
        </is>
      </c>
      <c r="E36" s="2" t="inlineStr">
        <is>
          <t>DevTools/ZAP</t>
        </is>
      </c>
      <c r="F36" s="2" t="inlineStr">
        <is>
          <t>Inspect deployed response headers</t>
        </is>
      </c>
      <c r="G36" s="2" t="inlineStr">
        <is>
          <t>Reasonable cache/security headers present or issue logged.</t>
        </is>
      </c>
      <c r="H36" s="2" t="inlineStr"/>
      <c r="I36" s="2" t="inlineStr"/>
      <c r="J36" s="2" t="inlineStr">
        <is>
          <t>Medium</t>
        </is>
      </c>
      <c r="K36" s="2" t="inlineStr"/>
      <c r="L36" s="2" t="inlineStr"/>
      <c r="M36" s="2" t="inlineStr"/>
    </row>
    <row r="37">
      <c r="A37" s="3" t="inlineStr">
        <is>
          <t>ST-036</t>
        </is>
      </c>
      <c r="B37" s="3" t="inlineStr">
        <is>
          <t>CORS/Origin</t>
        </is>
      </c>
      <c r="C37" s="3" t="inlineStr">
        <is>
          <t>Functions origin abuse</t>
        </is>
      </c>
      <c r="D37" s="3" t="inlineStr">
        <is>
          <t>Callable/HTTP</t>
        </is>
      </c>
      <c r="E37" s="3" t="inlineStr">
        <is>
          <t>Postman</t>
        </is>
      </c>
      <c r="F37" s="3" t="inlineStr">
        <is>
          <t>Send arbitrary Origin</t>
        </is>
      </c>
      <c r="G37" s="3" t="inlineStr">
        <is>
          <t>Callable auth and webhook signatures remain enforced.</t>
        </is>
      </c>
      <c r="H37" s="3" t="inlineStr"/>
      <c r="I37" s="3" t="inlineStr"/>
      <c r="J37" s="3" t="inlineStr">
        <is>
          <t>Medium</t>
        </is>
      </c>
      <c r="K37" s="3" t="inlineStr"/>
      <c r="L37" s="3" t="inlineStr"/>
      <c r="M37" s="3" t="inlineStr"/>
    </row>
    <row r="38">
      <c r="A38" s="2" t="inlineStr">
        <is>
          <t>ST-037</t>
        </is>
      </c>
      <c r="B38" s="2" t="inlineStr">
        <is>
          <t>Dependency Risk</t>
        </is>
      </c>
      <c r="C38" s="2" t="inlineStr">
        <is>
          <t>npm audit high vulnerabilities</t>
        </is>
      </c>
      <c r="D38" s="2" t="inlineStr">
        <is>
          <t>package lock</t>
        </is>
      </c>
      <c r="E38" s="2" t="inlineStr">
        <is>
          <t>Shell</t>
        </is>
      </c>
      <c r="F38" s="2" t="inlineStr">
        <is>
          <t>npm audit --audit-level=high</t>
        </is>
      </c>
      <c r="G38" s="2" t="inlineStr">
        <is>
          <t>No unresolved high vulnerabilities.</t>
        </is>
      </c>
      <c r="H38" s="2" t="inlineStr"/>
      <c r="I38" s="2" t="inlineStr"/>
      <c r="J38" s="2" t="inlineStr">
        <is>
          <t>High</t>
        </is>
      </c>
      <c r="K38" s="2" t="inlineStr"/>
      <c r="L38" s="2" t="inlineStr"/>
      <c r="M38" s="2" t="inlineStr"/>
    </row>
    <row r="39">
      <c r="A39" s="3" t="inlineStr">
        <is>
          <t>ST-038</t>
        </is>
      </c>
      <c r="B39" s="3" t="inlineStr">
        <is>
          <t>Logging</t>
        </is>
      </c>
      <c r="C39" s="3" t="inlineStr">
        <is>
          <t>PII in console logs</t>
        </is>
      </c>
      <c r="D39" s="3" t="inlineStr">
        <is>
          <t>Cloud logs/browser</t>
        </is>
      </c>
      <c r="E39" s="3" t="inlineStr">
        <is>
          <t>Manual</t>
        </is>
      </c>
      <c r="F39" s="3" t="inlineStr">
        <is>
          <t>Submit resume and inspect logs available to tester</t>
        </is>
      </c>
      <c r="G39" s="3" t="inlineStr">
        <is>
          <t>No full resume, secret, or payment data in logs.</t>
        </is>
      </c>
      <c r="H39" s="3" t="inlineStr"/>
      <c r="I39" s="3" t="inlineStr"/>
      <c r="J39" s="3" t="inlineStr">
        <is>
          <t>High</t>
        </is>
      </c>
      <c r="K39" s="3" t="inlineStr"/>
      <c r="L39" s="3" t="inlineStr"/>
      <c r="M39" s="3" t="inlineStr"/>
    </row>
  </sheetData>
  <autoFilter ref="A1:M39"/>
  <conditionalFormatting sqref="I2:I500">
    <cfRule type="expression" priority="1" dxfId="1">
      <formula>$I2="Y"</formula>
    </cfRule>
    <cfRule type="expression" priority="2" dxfId="0">
      <formula>$I2="N"</formula>
    </cfRule>
  </conditionalFormatting>
  <dataValidations count="2">
    <dataValidation sqref="I2:I500" showDropDown="0" showInputMessage="0" showErrorMessage="0" allowBlank="1" type="list">
      <formula1>"Y,N"</formula1>
    </dataValidation>
    <dataValidation sqref="J2:J5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0" customWidth="1" min="4" max="4"/>
    <col width="34" customWidth="1" min="5" max="5"/>
    <col width="36" customWidth="1" min="6" max="6"/>
    <col width="42" customWidth="1" min="7" max="7"/>
    <col width="28" customWidth="1" min="8" max="8"/>
    <col width="28" customWidth="1" min="9" max="9"/>
    <col width="14" customWidth="1" min="10" max="10"/>
    <col width="12" customWidth="1" min="11" max="11"/>
    <col width="16" customWidth="1" min="12" max="12"/>
    <col width="18" customWidth="1" min="13" max="13"/>
    <col width="18" customWidth="1" min="14" max="14"/>
    <col width="18" customWidth="1" min="15" max="15"/>
    <col width="16" customWidth="1" min="16" max="16"/>
    <col width="18" customWidth="1" min="17" max="17"/>
    <col width="16" customWidth="1" min="18" max="18"/>
    <col width="28" customWidth="1" min="19" max="19"/>
  </cols>
  <sheetData>
    <row r="1">
      <c r="A1" s="1" t="inlineStr">
        <is>
          <t>Bug ID</t>
        </is>
      </c>
      <c r="B1" s="1" t="inlineStr">
        <is>
          <t>Date Reported</t>
        </is>
      </c>
      <c r="C1" s="1" t="inlineStr">
        <is>
          <t>Product</t>
        </is>
      </c>
      <c r="D1" s="1" t="inlineStr">
        <is>
          <t>Module</t>
        </is>
      </c>
      <c r="E1" s="1" t="inlineStr">
        <is>
          <t>Bug Title</t>
        </is>
      </c>
      <c r="F1" s="1" t="inlineStr">
        <is>
          <t>Description</t>
        </is>
      </c>
      <c r="G1" s="1" t="inlineStr">
        <is>
          <t>Steps to Reproduce</t>
        </is>
      </c>
      <c r="H1" s="1" t="inlineStr">
        <is>
          <t>Expected</t>
        </is>
      </c>
      <c r="I1" s="1" t="inlineStr">
        <is>
          <t>Actual</t>
        </is>
      </c>
      <c r="J1" s="1" t="inlineStr">
        <is>
          <t>Severity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Reported By</t>
        </is>
      </c>
      <c r="N1" s="1" t="inlineStr">
        <is>
          <t>Assigned To</t>
        </is>
      </c>
      <c r="O1" s="1" t="inlineStr">
        <is>
          <t>Fixed By</t>
        </is>
      </c>
      <c r="P1" s="1" t="inlineStr">
        <is>
          <t>Date Fixed</t>
        </is>
      </c>
      <c r="Q1" s="1" t="inlineStr">
        <is>
          <t>Verified By</t>
        </is>
      </c>
      <c r="R1" s="1" t="inlineStr">
        <is>
          <t>Date Verified</t>
        </is>
      </c>
      <c r="S1" s="1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</row>
  </sheetData>
  <autoFilter ref="A1:S101"/>
  <conditionalFormatting sqref="L2:L500">
    <cfRule type="expression" priority="1" dxfId="1">
      <formula>$L2="Open"</formula>
    </cfRule>
    <cfRule type="expression" priority="2" dxfId="2">
      <formula>$L2="In Progress"</formula>
    </cfRule>
    <cfRule type="expression" priority="3" dxfId="4">
      <formula>$L2="Fixed"</formula>
    </cfRule>
    <cfRule type="expression" priority="4" dxfId="0">
      <formula>$L2="Verified"</formula>
    </cfRule>
    <cfRule type="expression" priority="5" dxfId="5">
      <formula>$L2="Closed"</formula>
    </cfRule>
  </conditionalFormatting>
  <conditionalFormatting sqref="J2:J500">
    <cfRule type="expression" priority="6" dxfId="6">
      <formula>$J2="Critical"</formula>
    </cfRule>
    <cfRule type="expression" priority="7" dxfId="7">
      <formula>$J2="High"</formula>
    </cfRule>
    <cfRule type="expression" priority="8" dxfId="8">
      <formula>$J2="Medium"</formula>
    </cfRule>
    <cfRule type="expression" priority="9" dxfId="9">
      <formula>$J2="Low"</formula>
    </cfRule>
  </conditionalFormatting>
  <dataValidations count="3">
    <dataValidation sqref="J2:J500" showDropDown="0" showInputMessage="0" showErrorMessage="0" allowBlank="1" type="list">
      <formula1>"Critical,High,Medium,Low"</formula1>
    </dataValidation>
    <dataValidation sqref="K2:K500" showDropDown="0" showInputMessage="0" showErrorMessage="0" allowBlank="1" type="list">
      <formula1>"P0,P1,P2,P3"</formula1>
    </dataValidation>
    <dataValidation sqref="L2:L500" showDropDown="0" showInputMessage="0" showErrorMessage="0" allowBlank="1" type="list">
      <formula1>"Open,In Progress,Fixed,Verified,Closed"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24" customWidth="1" min="4" max="4"/>
    <col width="20" customWidth="1" min="5" max="5"/>
    <col width="18" customWidth="1" min="6" max="6"/>
    <col width="22" customWidth="1" min="7" max="7"/>
    <col width="30" customWidth="1" min="8" max="8"/>
    <col width="14" customWidth="1" min="9" max="9"/>
    <col width="36" customWidth="1" min="10" max="10"/>
  </cols>
  <sheetData>
    <row r="1">
      <c r="A1" s="1" t="inlineStr">
        <is>
          <t>Date</t>
        </is>
      </c>
      <c r="B1" s="1" t="inlineStr">
        <is>
          <t>Intern Name</t>
        </is>
      </c>
      <c r="C1" s="1" t="inlineStr">
        <is>
          <t>Product</t>
        </is>
      </c>
      <c r="D1" s="1" t="inlineStr">
        <is>
          <t>Module Tested</t>
        </is>
      </c>
      <c r="E1" s="1" t="inlineStr">
        <is>
          <t>Test Cases Completed</t>
        </is>
      </c>
      <c r="F1" s="1" t="inlineStr">
        <is>
          <t>Bugs Found (count)</t>
        </is>
      </c>
      <c r="G1" s="1" t="inlineStr">
        <is>
          <t>Bug IDs</t>
        </is>
      </c>
      <c r="H1" s="1" t="inlineStr">
        <is>
          <t>Blockers</t>
        </is>
      </c>
      <c r="I1" s="1" t="inlineStr">
        <is>
          <t>Hours Spent</t>
        </is>
      </c>
      <c r="J1" s="1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</row>
  </sheetData>
  <autoFilter ref="A1:J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22" customWidth="1" min="4" max="4"/>
  </cols>
  <sheetData>
    <row r="1">
      <c r="A1" s="4" t="inlineStr">
        <is>
          <t>AIVI QA Sign-Off Dashboard</t>
        </is>
      </c>
    </row>
    <row r="3">
      <c r="A3" s="5" t="inlineStr">
        <is>
          <t>Functional Testing</t>
        </is>
      </c>
    </row>
    <row r="4">
      <c r="A4" s="6" t="inlineStr">
        <is>
          <t>Total functional test cases</t>
        </is>
      </c>
      <c r="B4" s="7">
        <f>COUNTA('Functional Test Cases'!A2:A500)</f>
        <v/>
      </c>
    </row>
    <row r="5">
      <c r="A5" s="6" t="inlineStr">
        <is>
          <t>Passed</t>
        </is>
      </c>
      <c r="B5" s="7">
        <f>COUNTIF('Functional Test Cases'!H2:H500,"Pass")</f>
        <v/>
      </c>
    </row>
    <row r="6">
      <c r="A6" s="6" t="inlineStr">
        <is>
          <t>Failed</t>
        </is>
      </c>
      <c r="B6" s="7">
        <f>COUNTIF('Functional Test Cases'!H2:H500,"Fail")</f>
        <v/>
      </c>
    </row>
    <row r="7">
      <c r="A7" s="6" t="inlineStr">
        <is>
          <t>Blocked</t>
        </is>
      </c>
      <c r="B7" s="7">
        <f>COUNTIF('Functional Test Cases'!H2:H500,"Blocked")</f>
        <v/>
      </c>
    </row>
    <row r="8">
      <c r="A8" s="6" t="inlineStr">
        <is>
          <t>Not Tested</t>
        </is>
      </c>
      <c r="B8" s="7">
        <f>COUNTA('Functional Test Cases'!A2:A500)-COUNTIF('Functional Test Cases'!H2:H500,"Pass")-COUNTIF('Functional Test Cases'!H2:H500,"Fail")-COUNTIF('Functional Test Cases'!H2:H500,"Blocked")</f>
        <v/>
      </c>
    </row>
    <row r="9">
      <c r="A9" s="6" t="inlineStr">
        <is>
          <t>% Complete</t>
        </is>
      </c>
      <c r="B9" s="8">
        <f>IF(B4=0,0,(B5+B6+B7)/B4)</f>
        <v/>
      </c>
    </row>
    <row r="11">
      <c r="A11" s="5" t="inlineStr">
        <is>
          <t>Security Testing</t>
        </is>
      </c>
    </row>
    <row r="12">
      <c r="A12" s="6" t="inlineStr">
        <is>
          <t>Total security test cases</t>
        </is>
      </c>
      <c r="B12" s="7">
        <f>COUNTA('Security Test Cases'!A2:A500)</f>
        <v/>
      </c>
    </row>
    <row r="13">
      <c r="A13" s="6" t="inlineStr">
        <is>
          <t>Passed</t>
        </is>
      </c>
      <c r="B13" s="7">
        <f>COUNTIF('Security Test Cases'!I2:I500,"N")</f>
        <v/>
      </c>
    </row>
    <row r="14">
      <c r="A14" s="6" t="inlineStr">
        <is>
          <t>Failed</t>
        </is>
      </c>
      <c r="B14" s="7">
        <f>COUNTIF('Security Test Cases'!I2:I500,"Y")</f>
        <v/>
      </c>
    </row>
    <row r="15">
      <c r="A15" s="6" t="inlineStr">
        <is>
          <t>Not Tested</t>
        </is>
      </c>
      <c r="B15" s="7">
        <f>COUNTA('Security Test Cases'!A2:A500)-COUNTIF('Security Test Cases'!I2:I500,"N")-COUNTIF('Security Test Cases'!I2:I500,"Y")</f>
        <v/>
      </c>
    </row>
    <row r="16">
      <c r="A16" s="6" t="inlineStr">
        <is>
          <t>% Complete</t>
        </is>
      </c>
      <c r="B16" s="8">
        <f>IF(B12=0,0,(B13+B14)/B12)</f>
        <v/>
      </c>
    </row>
    <row r="18">
      <c r="A18" s="5" t="inlineStr">
        <is>
          <t>Bug Status</t>
        </is>
      </c>
    </row>
    <row r="19">
      <c r="A19" s="6" t="inlineStr">
        <is>
          <t>Total bugs reported</t>
        </is>
      </c>
      <c r="B19" s="7">
        <f>COUNTA('Bug Tracker'!A2:A500)</f>
        <v/>
      </c>
    </row>
    <row r="20">
      <c r="A20" s="6" t="inlineStr">
        <is>
          <t>Open</t>
        </is>
      </c>
      <c r="B20" s="7">
        <f>COUNTIF('Bug Tracker'!L2:L500,"Open")</f>
        <v/>
      </c>
    </row>
    <row r="21">
      <c r="A21" s="6" t="inlineStr">
        <is>
          <t>In Progress</t>
        </is>
      </c>
      <c r="B21" s="7">
        <f>COUNTIF('Bug Tracker'!L2:L500,"In Progress")</f>
        <v/>
      </c>
    </row>
    <row r="22">
      <c r="A22" s="6" t="inlineStr">
        <is>
          <t>Fixed</t>
        </is>
      </c>
      <c r="B22" s="7">
        <f>COUNTIF('Bug Tracker'!L2:L500,"Fixed")</f>
        <v/>
      </c>
    </row>
    <row r="23">
      <c r="A23" s="6" t="inlineStr">
        <is>
          <t>Verified</t>
        </is>
      </c>
      <c r="B23" s="7">
        <f>COUNTIF('Bug Tracker'!L2:L500,"Verified")</f>
        <v/>
      </c>
    </row>
    <row r="24">
      <c r="A24" s="6" t="inlineStr">
        <is>
          <t>Closed</t>
        </is>
      </c>
      <c r="B24" s="7">
        <f>COUNTIF('Bug Tracker'!L2:L500,"Closed")</f>
        <v/>
      </c>
    </row>
    <row r="25">
      <c r="A25" s="6" t="inlineStr">
        <is>
          <t>Critical bugs open</t>
        </is>
      </c>
      <c r="B25" s="7">
        <f>COUNTIFS('Bug Tracker'!J2:J500,"Critical",'Bug Tracker'!L2:L500,"&lt;&gt;Closed",'Bug Tracker'!L2:L500,"&lt;&gt;Verified",'Bug Tracker'!L2:L500,"&lt;&gt;")</f>
        <v/>
      </c>
    </row>
    <row r="26">
      <c r="A26" s="6" t="inlineStr">
        <is>
          <t>High bugs open</t>
        </is>
      </c>
      <c r="B26" s="7">
        <f>COUNTIFS('Bug Tracker'!J2:J500,"High",'Bug Tracker'!L2:L500,"&lt;&gt;Closed",'Bug Tracker'!L2:L500,"&lt;&gt;Verified",'Bug Tracker'!L2:L500,"&lt;&gt;")</f>
        <v/>
      </c>
    </row>
    <row r="28">
      <c r="A28" s="6" t="inlineStr">
        <is>
          <t>Overall production readiness score</t>
        </is>
      </c>
      <c r="B28" s="8">
        <f>IF((B4+B12)=0,0,((B5+B13)+B24)/(B4+B12+B19))</f>
        <v/>
      </c>
    </row>
    <row r="29">
      <c r="A29" s="6" t="inlineStr">
        <is>
          <t>Recommendation</t>
        </is>
      </c>
      <c r="B29" s="7">
        <f>IF(AND(B28&gt;0.9,B25=0),"READY FOR PRODUCTION","NOT READY - "&amp;(B6+B7+B8+B14+B15+B20+B21+B22+B25+B26)&amp;" issues pending")</f>
        <v/>
      </c>
    </row>
    <row r="31">
      <c r="A31" t="inlineStr">
        <is>
          <t>Notes</t>
        </is>
      </c>
      <c r="B31" t="inlineStr">
        <is>
          <t>Dashboard formulas count test cases, security outcomes, bug status, and readiness. Do not overwrite formulas.</t>
        </is>
      </c>
    </row>
  </sheetData>
  <mergeCells count="5">
    <mergeCell ref="A1:D1"/>
    <mergeCell ref="A18:D18"/>
    <mergeCell ref="B31:D31"/>
    <mergeCell ref="A3:D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2026-06-01T16:53:47Z</dcterms:created>
  <dcterms:modified xmlns:dcterms="http://purl.org/dc/terms/" xmlns:xsi="http://www.w3.org/2001/XMLSchema-instance" xsi:type="dcterms:W3CDTF">2026-06-01T16:54:04Z</dcterms:modified>
</cp:coreProperties>
</file>