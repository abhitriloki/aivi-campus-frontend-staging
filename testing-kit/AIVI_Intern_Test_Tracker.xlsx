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— Intern Must Read First" sheetId="1" state="visible" r:id="rId1"/>
    <sheet xmlns:r="http://schemas.openxmlformats.org/officeDocument/2006/relationships" name="Test Accounts &amp; Setup" sheetId="2" state="visible" r:id="rId2"/>
    <sheet xmlns:r="http://schemas.openxmlformats.org/officeDocument/2006/relationships" name="Test Suites — Master" sheetId="3" state="visible" r:id="rId3"/>
    <sheet xmlns:r="http://schemas.openxmlformats.org/officeDocument/2006/relationships" name="Error Diagnosis Guide" sheetId="4" state="visible" r:id="rId4"/>
    <sheet xmlns:r="http://schemas.openxmlformats.org/officeDocument/2006/relationships" name="Bug Log" sheetId="5" state="visible" r:id="rId5"/>
    <sheet xmlns:r="http://schemas.openxmlformats.org/officeDocument/2006/relationships" name="Daily Report &amp; Progress" sheetId="6" state="visible" r:id="rId6"/>
  </sheets>
  <definedNames>
    <definedName name="_xlnm._FilterDatabase" localSheetId="2" hidden="1">'Test Suites — Master'!$A$2:$Q$158</definedName>
    <definedName name="_xlnm._FilterDatabase" localSheetId="3" hidden="1">'Error Diagnosis Guide'!$A$4:$F$24</definedName>
    <definedName name="_xlnm._FilterDatabase" localSheetId="4" hidden="1">'Bug Log'!$A$2:$O$63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A44"/>
      <sz val="12"/>
    </font>
    <font>
      <name val="Calibri"/>
      <color rgb="00000000"/>
      <sz val="10"/>
    </font>
    <font>
      <name val="Calibri"/>
      <b val="1"/>
      <color rgb="00FFFFFF"/>
      <sz val="11"/>
    </font>
    <font>
      <name val="Consolas"/>
      <color rgb="00000000"/>
      <sz val="9.5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0E7C86"/>
        <bgColor rgb="000E7C86"/>
      </patternFill>
    </fill>
    <fill>
      <patternFill patternType="solid">
        <fgColor rgb="00FFFFFF"/>
        <bgColor rgb="00FFFFFF"/>
      </patternFill>
    </fill>
    <fill>
      <patternFill patternType="solid">
        <fgColor rgb="00EEF3F8"/>
        <bgColor rgb="00EEF3F8"/>
      </patternFill>
    </fill>
    <fill>
      <patternFill patternType="solid">
        <fgColor rgb="00149A9B"/>
        <bgColor rgb="00149A9B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2A4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3" fillId="4" borderId="2" pivotButton="0" quotePrefix="0" xfId="0"/>
    <xf numFmtId="0" fontId="3" fillId="7" borderId="2" pivotButton="0" quotePrefix="0" xfId="0"/>
    <xf numFmtId="0" fontId="5" fillId="4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left" vertical="top"/>
    </xf>
    <xf numFmtId="0" fontId="5" fillId="4" borderId="2" applyAlignment="1" pivotButton="0" quotePrefix="0" xfId="0">
      <alignment horizontal="left" vertical="top"/>
    </xf>
    <xf numFmtId="0" fontId="3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horizontal="left" vertical="top"/>
    </xf>
    <xf numFmtId="0" fontId="5" fillId="5" borderId="2" applyAlignment="1" pivotButton="0" quotePrefix="0" xfId="0">
      <alignment horizontal="left" vertical="top"/>
    </xf>
    <xf numFmtId="0" fontId="3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/>
    </xf>
    <xf numFmtId="0" fontId="3" fillId="5" borderId="2" pivotButton="0" quotePrefix="0" xfId="0"/>
    <xf numFmtId="0" fontId="3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164" fontId="3" fillId="5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left"/>
    </xf>
    <xf numFmtId="164" fontId="3" fillId="4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left"/>
    </xf>
    <xf numFmtId="164" fontId="4" fillId="6" borderId="2" applyAlignment="1" pivotButton="0" quotePrefix="0" xfId="0">
      <alignment horizont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35" customHeight="1">
      <c r="A1" s="1" t="inlineStr">
        <is>
          <t>AIVI CAREER &amp; CAMPUS OS — INTERN TESTING ASSIGNMENT &amp; SAFETY PROTOCOL</t>
        </is>
      </c>
    </row>
    <row r="3" ht="24" customHeight="1">
      <c r="A3" s="2" t="inlineStr">
        <is>
          <t>1. What This File Is</t>
        </is>
      </c>
    </row>
    <row r="4" ht="20" customHeight="1">
      <c r="A4" s="3" t="inlineStr">
        <is>
          <t xml:space="preserve">  This workbook is your complete, authoritative testing assignment for AIVI Career Intelligence OS (B2C SaaS) and Multi-Tenant Campus OS (B2B).</t>
        </is>
      </c>
    </row>
    <row r="5" ht="20" customHeight="1">
      <c r="A5" s="3" t="inlineStr">
        <is>
          <t xml:space="preserve">  You are testing the end-to-end product user experience, functional workflows, error states, and security guards.</t>
        </is>
      </c>
    </row>
    <row r="6" ht="20" customHeight="1">
      <c r="A6" s="3" t="inlineStr">
        <is>
          <t xml:space="preserve">  CRITICAL PROTOCOL: All testing runs directly on the Production environment (https://aivilabs.com, Firebase project 'aivi-career').</t>
        </is>
      </c>
    </row>
    <row r="8" ht="24" customHeight="1">
      <c r="A8" s="2" t="inlineStr">
        <is>
          <t>2. Golden Safety Rules (Breaking ANY rule results in immediate removal from testing)</t>
        </is>
      </c>
    </row>
    <row r="9" ht="20" customHeight="1">
      <c r="A9" s="3" t="inlineStr">
        <is>
          <t xml:space="preserve">  ① Everything you test is the LIVE product — never reset, never delete, never seed, never pay unless the founder is literally sitting next to you running it.</t>
        </is>
      </c>
    </row>
    <row r="10" ht="20" customHeight="1">
      <c r="A10" s="3" t="inlineStr">
        <is>
          <t xml:space="preserve">  ② NEVER click 'Seed Demo Campus' or 'Reset Demo Campus' without Founder present — seeder reset and data purging are strictly founder-only.</t>
        </is>
      </c>
    </row>
    <row r="11" ht="20" customHeight="1">
      <c r="A11" s="3" t="inlineStr">
        <is>
          <t xml:space="preserve">  ③ Use ONLY the official test accounts provided on the 'Test Accounts &amp; Setup' sheet (demo-sunrise campus accounts and founder-approved throwaway B2C account). Do not create other accounts, and do not touch any real user data you encounter.</t>
        </is>
      </c>
    </row>
    <row r="12" ht="20" customHeight="1">
      <c r="A12" s="3" t="inlineStr">
        <is>
          <t xml:space="preserve">  ④ Production uses LIVE Razorpay keys — test card details (e.g. 4111 1111 1111 1111) are NOT supported in live mode. Payment tests are strictly FOUNDER-ONLY live verification (real ₹399 Starter purchase + Razorpay dashboard refund). Interns must NEVER execute live payment transactions.</t>
        </is>
      </c>
    </row>
    <row r="13" ht="20" customHeight="1">
      <c r="A13" s="3" t="inlineStr">
        <is>
          <t xml:space="preserve">  ⑤ Never share credentials, API keys, production URLs, or tracker documents outside the engineering team.</t>
        </is>
      </c>
    </row>
    <row r="15" ht="24" customHeight="1">
      <c r="A15" s="2" t="inlineStr">
        <is>
          <t>3. Your Daily Workflow (7 Steps)</t>
        </is>
      </c>
    </row>
    <row r="16" ht="20" customHeight="1">
      <c r="A16" s="3" t="inlineStr">
        <is>
          <t xml:space="preserve">  Step 1: Open 'Test Suites — Master' sheet and filter the 'Suite' column to your assigned daily suite (e.g. S00, S01).</t>
        </is>
      </c>
    </row>
    <row r="17" ht="20" customHeight="1">
      <c r="A17" s="3" t="inlineStr">
        <is>
          <t xml:space="preserve">  Step 2: Read the 'Preconditions' column carefully BEFORE executing every test case.</t>
        </is>
      </c>
    </row>
    <row r="18" ht="20" customHeight="1">
      <c r="A18" s="3" t="inlineStr">
        <is>
          <t xml:space="preserve">  Step 3: Execute 'Test Steps' EXACTLY as written — same clicks, same button labels, same inputs, same navigation order.</t>
        </is>
      </c>
    </row>
    <row r="19" ht="20" customHeight="1">
      <c r="A19" s="3" t="inlineStr">
        <is>
          <t xml:space="preserve">  Step 4: Compare observed UI behavior with 'Expected Result' — you must observe EVERY expected point, not 'mostly'.</t>
        </is>
      </c>
    </row>
    <row r="20" ht="20" customHeight="1">
      <c r="A20" s="3" t="inlineStr">
        <is>
          <t xml:space="preserve">  Step 5: Set the 'Status' dropdown (Pass / Fail / Blocked / Skipped) and write detailed observations in 'Actual Result'.</t>
        </is>
      </c>
    </row>
    <row r="21" ht="20" customHeight="1">
      <c r="A21" s="3" t="inlineStr">
        <is>
          <t xml:space="preserve">  Step 6: If FAIL → FIRST run every check in 'If FAIL — Check These First' column AND look up the error message in 'Error Diagnosis Guide'.</t>
        </is>
      </c>
    </row>
    <row r="22" ht="20" customHeight="1">
      <c r="A22" s="3" t="inlineStr">
        <is>
          <t xml:space="preserve">  Step 7: If still failing after diagnostic checks → file a new bug on 'Bug Log' sheet using the mandatory 5-line format, record the Bug ID, and set Status = Fail.</t>
        </is>
      </c>
    </row>
    <row r="24" ht="24" customHeight="1">
      <c r="A24" s="2" t="inlineStr">
        <is>
          <t>4. Status Definitions</t>
        </is>
      </c>
    </row>
    <row r="25" ht="20" customHeight="1">
      <c r="A25" s="3" t="inlineStr">
        <is>
          <t xml:space="preserve">  • Pass: Every single expected point and verbatim error message observed exactly as documented.</t>
        </is>
      </c>
    </row>
    <row r="26" ht="20" customHeight="1">
      <c r="A26" s="3" t="inlineStr">
        <is>
          <t xml:space="preserve">  • Fail: Any expected point missing, incorrect behavior observed, or unexpected crash occurred AFTER running diagnostic checks.</t>
        </is>
      </c>
    </row>
    <row r="27" ht="20" customHeight="1">
      <c r="A27" s="3" t="inlineStr">
        <is>
          <t xml:space="preserve">  • Blocked: Cannot execute test case because precondition, service, or test account is unavailable (must record exact blocker reason).</t>
        </is>
      </c>
    </row>
    <row r="28" ht="20" customHeight="1">
      <c r="A28" s="3" t="inlineStr">
        <is>
          <t xml:space="preserve">  • Skipped: Explicitly instructed by Founder to skip this specific test case (e.g. deprecated staging banner test S11-T001).</t>
        </is>
      </c>
    </row>
    <row r="30" ht="24" customHeight="1">
      <c r="A30" s="2" t="inlineStr">
        <is>
          <t>5. Severity Guide (Assign when filing bugs on Bug Log)</t>
        </is>
      </c>
    </row>
    <row r="31" ht="20" customHeight="1">
      <c r="A31" s="3" t="inlineStr">
        <is>
          <t xml:space="preserve">  • P0 (Critical): Login, payment, account deletion, or data loss broken; blocks all testing or crashes app completely.</t>
        </is>
      </c>
    </row>
    <row r="32" ht="20" customHeight="1">
      <c r="A32" s="3" t="inlineStr">
        <is>
          <t xml:space="preserve">  • P1 (High): Core feature flow broken (e.g. resume scoring fails, drive shortlist excludes eligible students), but clumsy workaround exists.</t>
        </is>
      </c>
    </row>
    <row r="33" ht="20" customHeight="1">
      <c r="A33" s="3" t="inlineStr">
        <is>
          <t xml:space="preserve">  • P2 (Medium): Secondary feature misbehaves in an edge case or specific browser (e.g. filter dropdown glitch, modal styling issue).</t>
        </is>
      </c>
    </row>
    <row r="34" ht="20" customHeight="1">
      <c r="A34" s="3" t="inlineStr">
        <is>
          <t xml:space="preserve">  • P3 (Low): Cosmetic issue, text typo, minor alignment defect, or low-priority visual bug.</t>
        </is>
      </c>
    </row>
    <row r="36" ht="24" customHeight="1">
      <c r="A36" s="2" t="inlineStr">
        <is>
          <t>6. THE 5-LINE BUG FORMAT (Mandatory — Founder accepts ONLY this format)</t>
        </is>
      </c>
    </row>
    <row r="37" ht="20" customHeight="1">
      <c r="A37" s="3" t="inlineStr">
        <is>
          <t xml:space="preserve">  Line 1: ① What I did: (last 2–3 exact steps taken before failure)</t>
        </is>
      </c>
    </row>
    <row r="38" ht="20" customHeight="1">
      <c r="A38" s="3" t="inlineStr">
        <is>
          <t xml:space="preserve">  Line 2: ② What I expected: (verbatim expected text/behavior from test case)</t>
        </is>
      </c>
    </row>
    <row r="39" ht="20" customHeight="1">
      <c r="A39" s="3" t="inlineStr">
        <is>
          <t xml:space="preserve">  Line 3: ③ What happened: (exact verbatim message text — copy it directly, never paraphrase)</t>
        </is>
      </c>
    </row>
    <row r="40" ht="20" customHeight="1">
      <c r="A40" s="3" t="inlineStr">
        <is>
          <t xml:space="preserve">  Line 4: ④ Where: full URL + environment + exact test account email used</t>
        </is>
      </c>
    </row>
    <row r="41" ht="20" customHeight="1">
      <c r="A41" s="3" t="inlineStr">
        <is>
          <t xml:space="preserve">  Line 5: ⑤ Evidence: screenshot/screen-recording link in shared Google Drive folder</t>
        </is>
      </c>
    </row>
    <row r="42" ht="20" customHeight="1">
      <c r="A42" s="3" t="inlineStr">
        <is>
          <t xml:space="preserve">  CRITICAL: No vague 'it didn't work' reports. Any bug report lacking all 5 lines will be rejected and returned to you.</t>
        </is>
      </c>
    </row>
    <row r="44" ht="24" customHeight="1">
      <c r="A44" s="2" t="inlineStr">
        <is>
          <t>7. The Rule That Ends False Bugs</t>
        </is>
      </c>
    </row>
    <row r="45" ht="20" customHeight="1">
      <c r="A45" s="3" t="inlineStr">
        <is>
          <t xml:space="preserve">  Before filing ANY bug, you MUST have completed that test's 'If FAIL — Check These First' column AND checked the matching row in 'Error Diagnosis Guide'.</t>
        </is>
      </c>
    </row>
    <row r="46" ht="20" customHeight="1">
      <c r="A46" s="3" t="inlineStr">
        <is>
          <t xml:space="preserve">  You MUST write 'checks done: [list of checks]' inside the Bug Log row.</t>
        </is>
      </c>
    </row>
    <row r="47" ht="20" customHeight="1">
      <c r="A47" s="3" t="inlineStr">
        <is>
          <t xml:space="preserve">  Real-Life Example: Login displays 'Invalid email or password' → Checks done: 1) Is email verified in Firebase Console? 2) confirm the URL bar shows https://aivilabs.com (production)? 3) Is password correct (caps lock off)? 4) Try password reset — if reset email arrives, account exists and password was entered wrong! (Marked Not a Bug).</t>
        </is>
      </c>
    </row>
  </sheetData>
  <mergeCells count="40">
    <mergeCell ref="A9:H9"/>
    <mergeCell ref="A30:H30"/>
    <mergeCell ref="A39:H39"/>
    <mergeCell ref="A15:H15"/>
    <mergeCell ref="A24:H24"/>
    <mergeCell ref="A36:H36"/>
    <mergeCell ref="A11:H11"/>
    <mergeCell ref="A1:H1"/>
    <mergeCell ref="A45:H45"/>
    <mergeCell ref="A6:H6"/>
    <mergeCell ref="A25:H25"/>
    <mergeCell ref="A16:H16"/>
    <mergeCell ref="A41:H41"/>
    <mergeCell ref="A37:H37"/>
    <mergeCell ref="A46:H46"/>
    <mergeCell ref="A27:H27"/>
    <mergeCell ref="A12:H12"/>
    <mergeCell ref="A18:H18"/>
    <mergeCell ref="A3:H3"/>
    <mergeCell ref="A21:H21"/>
    <mergeCell ref="A26:H26"/>
    <mergeCell ref="A42:H42"/>
    <mergeCell ref="A33:H33"/>
    <mergeCell ref="A47:H47"/>
    <mergeCell ref="A5:H5"/>
    <mergeCell ref="A32:H32"/>
    <mergeCell ref="A8:H8"/>
    <mergeCell ref="A22:H22"/>
    <mergeCell ref="A17:H17"/>
    <mergeCell ref="A40:H40"/>
    <mergeCell ref="A4:H4"/>
    <mergeCell ref="A20:H20"/>
    <mergeCell ref="A38:H38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5" customWidth="1" min="3" max="3"/>
    <col width="25" customWidth="1" min="4" max="4"/>
    <col width="45" customWidth="1" min="5" max="5"/>
    <col width="60" customWidth="1" min="6" max="6"/>
  </cols>
  <sheetData>
    <row r="1" ht="35" customHeight="1">
      <c r="A1" s="1" t="inlineStr">
        <is>
          <t>AIVI CAREER &amp; CAMPUS OS — SEEDED ACCOUNTS &amp; ENVIRONMENT SETUP</t>
        </is>
      </c>
    </row>
    <row r="3">
      <c r="A3" s="2" t="inlineStr">
        <is>
          <t>1. Seeded Test Accounts Inventory (From Chapter 11)</t>
        </is>
      </c>
    </row>
    <row r="4" ht="28" customHeight="1">
      <c r="A4" s="4" t="inlineStr">
        <is>
          <t>System Role</t>
        </is>
      </c>
      <c r="B4" s="4" t="inlineStr">
        <is>
          <t>Display Name</t>
        </is>
      </c>
      <c r="C4" s="4" t="inlineStr">
        <is>
          <t>Email Address</t>
        </is>
      </c>
      <c r="D4" s="4" t="inlineStr">
        <is>
          <t>Default Password</t>
        </is>
      </c>
      <c r="E4" s="4" t="inlineStr">
        <is>
          <t>Custom Claims / Scope</t>
        </is>
      </c>
      <c r="F4" s="4" t="inlineStr">
        <is>
          <t>Recommended Test Usage</t>
        </is>
      </c>
    </row>
    <row r="5" ht="22" customHeight="1">
      <c r="A5" s="5" t="inlineStr">
        <is>
          <t>Platform Admin</t>
        </is>
      </c>
      <c r="B5" s="5" t="inlineStr">
        <is>
          <t>Platform Administrator</t>
        </is>
      </c>
      <c r="C5" s="6" t="inlineStr">
        <is>
          <t>abhi.triloki@gmail.com</t>
        </is>
      </c>
      <c r="D5" s="6" t="inlineStr">
        <is>
          <t>(User Configured)</t>
        </is>
      </c>
      <c r="E5" s="6" t="inlineStr">
        <is>
          <t>{ role: 'platform_admin' }</t>
        </is>
      </c>
      <c r="F5" s="5" t="inlineStr">
        <is>
          <t>Suite S04 Platform Admin Console, tenant provisioning, demo seeder execution</t>
        </is>
      </c>
    </row>
    <row r="6" ht="22" customHeight="1">
      <c r="A6" s="7" t="inlineStr">
        <is>
          <t>Tenant Admin (TPO)</t>
        </is>
      </c>
      <c r="B6" s="7" t="inlineStr">
        <is>
          <t>Dr. Alok Verma</t>
        </is>
      </c>
      <c r="C6" s="8" t="inlineStr">
        <is>
          <t>tpo.director@demo.aivilabs.com</t>
        </is>
      </c>
      <c r="D6" s="8" t="inlineStr">
        <is>
          <t>DemoUser@2026</t>
        </is>
      </c>
      <c r="E6" s="8" t="inlineStr">
        <is>
          <t>{ tenantId: 'demo-sunrise', role: 'tenant_admin' }</t>
        </is>
      </c>
      <c r="F6" s="7" t="inlineStr">
        <is>
          <t>Suite S05 TPO Dashboard, placement drives, CSV student import, staff management, billing</t>
        </is>
      </c>
    </row>
    <row r="7" ht="22" customHeight="1">
      <c r="A7" s="5" t="inlineStr">
        <is>
          <t>Department Coordinator</t>
        </is>
      </c>
      <c r="B7" s="5" t="inlineStr">
        <is>
          <t>Prof. Sunita Rao</t>
        </is>
      </c>
      <c r="C7" s="6" t="inlineStr">
        <is>
          <t>coordinator.cse@demo.aivilabs.com</t>
        </is>
      </c>
      <c r="D7" s="6" t="inlineStr">
        <is>
          <t>DemoUser@2026</t>
        </is>
      </c>
      <c r="E7" s="6" t="inlineStr">
        <is>
          <t>{ tenantId: 'demo-sunrise', role: 'coordinator', branchScope: ['CSE'] }</t>
        </is>
      </c>
      <c r="F7" s="5" t="inlineStr">
        <is>
          <t>Suite S06 Coordinator branch scoping &amp; CSE student roster management</t>
        </is>
      </c>
    </row>
    <row r="8" ht="22" customHeight="1">
      <c r="A8" s="7" t="inlineStr">
        <is>
          <t>Student 1 (CSE Batch 26)</t>
        </is>
      </c>
      <c r="B8" s="7" t="inlineStr">
        <is>
          <t>Aarav Sharma</t>
        </is>
      </c>
      <c r="C8" s="8" t="inlineStr">
        <is>
          <t>student1@demo.aivilabs.com</t>
        </is>
      </c>
      <c r="D8" s="8" t="inlineStr">
        <is>
          <t>DemoStudent@2026</t>
        </is>
      </c>
      <c r="E8" s="8" t="inlineStr">
        <is>
          <t>{ tenantId: 'demo-sunrise', role: 'student' }</t>
        </is>
      </c>
      <c r="F8" s="7" t="inlineStr">
        <is>
          <t>Suite S07 Student drives, resume vault upload, vernacular mock interview (text &amp; voice)</t>
        </is>
      </c>
    </row>
    <row r="9" ht="22" customHeight="1">
      <c r="A9" s="5" t="inlineStr">
        <is>
          <t>Student 2 (ECE Batch 26)</t>
        </is>
      </c>
      <c r="B9" s="5" t="inlineStr">
        <is>
          <t>Aditi Verma</t>
        </is>
      </c>
      <c r="C9" s="6" t="inlineStr">
        <is>
          <t>student97@demo.aivilabs.com</t>
        </is>
      </c>
      <c r="D9" s="6" t="inlineStr">
        <is>
          <t>DemoStudent@2026</t>
        </is>
      </c>
      <c r="E9" s="6" t="inlineStr">
        <is>
          <t>{ tenantId: 'demo-sunrise', role: 'student' }</t>
        </is>
      </c>
      <c r="F9" s="5" t="inlineStr">
        <is>
          <t>Suite S07 ECE branch cross-department drive applications</t>
        </is>
      </c>
    </row>
    <row r="10" ht="22" customHeight="1">
      <c r="A10" s="7" t="inlineStr">
        <is>
          <t>Student 3 (ME Batch 26)</t>
        </is>
      </c>
      <c r="B10" s="7" t="inlineStr">
        <is>
          <t>Ananya Gupta</t>
        </is>
      </c>
      <c r="C10" s="8" t="inlineStr">
        <is>
          <t>student169@demo.aivilabs.com</t>
        </is>
      </c>
      <c r="D10" s="8" t="inlineStr">
        <is>
          <t>DemoStudent@2026</t>
        </is>
      </c>
      <c r="E10" s="8" t="inlineStr">
        <is>
          <t>{ tenantId: 'demo-sunrise', role: 'student' }</t>
        </is>
      </c>
      <c r="F10" s="7" t="inlineStr">
        <is>
          <t>Suite S07 Mechanical engineering branch student testing</t>
        </is>
      </c>
    </row>
    <row r="12">
      <c r="A12" s="2" t="inlineStr">
        <is>
          <t>2. Production Environment Details &amp; Gateway Protocol</t>
        </is>
      </c>
    </row>
    <row r="13" ht="25" customHeight="1">
      <c r="A13" s="9" t="inlineStr">
        <is>
          <t>Environment Property</t>
        </is>
      </c>
      <c r="B13" s="9" t="inlineStr">
        <is>
          <t>Production Environment Configuration</t>
        </is>
      </c>
      <c r="C13" s="9" t="inlineStr">
        <is>
          <t>QA Safety &amp; Testing Guidelines</t>
        </is>
      </c>
    </row>
    <row r="14" ht="22" customHeight="1">
      <c r="A14" s="7" t="inlineStr">
        <is>
          <t>Firebase Project ID</t>
        </is>
      </c>
      <c r="B14" s="8" t="inlineStr">
        <is>
          <t>aivi-career</t>
        </is>
      </c>
      <c r="C14" s="8" t="inlineStr">
        <is>
          <t>Primary production Firebase infrastructure project.</t>
        </is>
      </c>
    </row>
    <row r="15" ht="22" customHeight="1">
      <c r="A15" s="5" t="inlineStr">
        <is>
          <t>Canonical Web URL</t>
        </is>
      </c>
      <c r="B15" s="6" t="inlineStr">
        <is>
          <t>https://aivilabs.com (or https://aivi-career.web.app)</t>
        </is>
      </c>
      <c r="C15" s="6" t="inlineStr">
        <is>
          <t>All testing MUST confirm the URL bar shows https://aivilabs.com (production).</t>
        </is>
      </c>
    </row>
    <row r="16" ht="22" customHeight="1">
      <c r="A16" s="7" t="inlineStr">
        <is>
          <t>Razorpay Key Mode</t>
        </is>
      </c>
      <c r="B16" s="8" t="inlineStr">
        <is>
          <t>LIVE Keys (rzp_live_...)</t>
        </is>
      </c>
      <c r="C16" s="8" t="inlineStr">
        <is>
          <t>LIVE Mode — Test cards (e.g. 4111 1111 1111 1111) are NOT supported on production.</t>
        </is>
      </c>
    </row>
    <row r="17" ht="22" customHeight="1">
      <c r="A17" s="5" t="inlineStr">
        <is>
          <t>Payment Test Rule</t>
        </is>
      </c>
      <c r="B17" s="6" t="inlineStr">
        <is>
          <t>FOUNDER-ONLY Live Verification</t>
        </is>
      </c>
      <c r="C17" s="6" t="inlineStr">
        <is>
          <t>Payment tests are strictly FOUNDER-ONLY using real ₹399 transaction + Razorpay dashboard refund. Interns must NEVER execute transactions.</t>
        </is>
      </c>
    </row>
    <row r="18" ht="22" customHeight="1">
      <c r="A18" s="7" t="inlineStr">
        <is>
          <t>Permitted Test Accounts</t>
        </is>
      </c>
      <c r="B18" s="8" t="inlineStr">
        <is>
          <t>demo-sunrise Campus &amp; Throwaway B2C</t>
        </is>
      </c>
      <c r="C18" s="8" t="inlineStr">
        <is>
          <t>You test ONLY with demo-sunrise campus accounts and founder-approved throwaway B2C account. Do not touch real user data.</t>
        </is>
      </c>
    </row>
    <row r="19" ht="22" customHeight="1">
      <c r="A19" s="5" t="inlineStr">
        <is>
          <t>Destructive Actions</t>
        </is>
      </c>
      <c r="B19" s="6" t="inlineStr">
        <is>
          <t>STRICTLY PROHIBITED FOR INTERNS</t>
        </is>
      </c>
      <c r="C19" s="6" t="inlineStr">
        <is>
          <t>Seeder reset ('resetDemoCampus'), tenant purging, and account deletions are strictly FOUNDER-ONLY with Founder present.</t>
        </is>
      </c>
    </row>
    <row r="20">
      <c r="A20" s="2" t="inlineStr">
        <is>
          <t>3. Intern Pre-Testing Setup Checklist</t>
        </is>
      </c>
    </row>
    <row r="21" ht="18" customHeight="1">
      <c r="A21" s="3" t="inlineStr">
        <is>
          <t>1. Launch Google Chrome browser (latest version).</t>
        </is>
      </c>
    </row>
    <row r="22" ht="18" customHeight="1">
      <c r="A22" s="3" t="inlineStr">
        <is>
          <t>2. Enable pop-ups for 'aivilabs.com' in Chrome Settings -&gt; Privacy and Security -&gt; Site Settings -&gt; Pop-ups.</t>
        </is>
      </c>
    </row>
    <row r="23" ht="18" customHeight="1">
      <c r="A23" s="3" t="inlineStr">
        <is>
          <t>3. Enable microphone permissions for 'aivilabs.com' (required for Vernacular Voice Interviews).</t>
        </is>
      </c>
    </row>
    <row r="24" ht="18" customHeight="1">
      <c r="A24" s="3" t="inlineStr">
        <is>
          <t>4. Bookmark the Production URL (https://aivilabs.com) and keep the shared Google Drive evidence folder open in a separate tab.</t>
        </is>
      </c>
    </row>
    <row r="25" ht="18" customHeight="1">
      <c r="A25" s="3" t="inlineStr">
        <is>
          <t>5. Confirm the URL bar shows https://aivilabs.com (production) before executing any test case.</t>
        </is>
      </c>
    </row>
    <row r="27">
      <c r="A27" s="2" t="inlineStr">
        <is>
          <t>4. Sample Inputs for Testing (CSV Import &amp; Negative Test Data)</t>
        </is>
      </c>
    </row>
    <row r="28">
      <c r="A28" s="10" t="inlineStr">
        <is>
          <t>CSV Import Template Header: Full Name,Email,Enrollment No,Branch,CGPA,Graduation Year</t>
        </is>
      </c>
    </row>
    <row r="29" ht="22" customHeight="1">
      <c r="A29" s="11" t="inlineStr">
        <is>
          <t>Row Type</t>
        </is>
      </c>
      <c r="B29" s="11" t="inlineStr">
        <is>
          <t>Full Name</t>
        </is>
      </c>
      <c r="C29" s="11" t="inlineStr">
        <is>
          <t>Email</t>
        </is>
      </c>
      <c r="D29" s="11" t="inlineStr">
        <is>
          <t>Enrollment No</t>
        </is>
      </c>
      <c r="E29" s="11" t="inlineStr">
        <is>
          <t>Branch</t>
        </is>
      </c>
      <c r="F29" s="11" t="inlineStr">
        <is>
          <t>CGPA</t>
        </is>
      </c>
      <c r="G29" s="11" t="inlineStr">
        <is>
          <t>Graduation Year / Notes</t>
        </is>
      </c>
    </row>
    <row r="30" ht="20" customHeight="1">
      <c r="A30" s="12" t="inlineStr">
        <is>
          <t>Valid Row 1</t>
        </is>
      </c>
      <c r="B30" s="12" t="inlineStr">
        <is>
          <t>Rohan Gupta</t>
        </is>
      </c>
      <c r="C30" s="12" t="inlineStr">
        <is>
          <t>rohan.gupta@demo.aivilabs.com</t>
        </is>
      </c>
      <c r="D30" s="12" t="inlineStr">
        <is>
          <t>SEC26CSE241</t>
        </is>
      </c>
      <c r="E30" s="12" t="inlineStr">
        <is>
          <t>CSE</t>
        </is>
      </c>
      <c r="F30" s="12" t="inlineStr">
        <is>
          <t>8.2</t>
        </is>
      </c>
      <c r="G30" s="12" t="inlineStr">
        <is>
          <t>2026</t>
        </is>
      </c>
    </row>
    <row r="31" ht="20" customHeight="1">
      <c r="A31" s="12" t="inlineStr">
        <is>
          <t>Valid Row 2</t>
        </is>
      </c>
      <c r="B31" s="12" t="inlineStr">
        <is>
          <t>Sneha Patel</t>
        </is>
      </c>
      <c r="C31" s="12" t="inlineStr">
        <is>
          <t>sneha.patel@demo.aivilabs.com</t>
        </is>
      </c>
      <c r="D31" s="12" t="inlineStr">
        <is>
          <t>SEC26ECE242</t>
        </is>
      </c>
      <c r="E31" s="12" t="inlineStr">
        <is>
          <t>ECE</t>
        </is>
      </c>
      <c r="F31" s="12" t="inlineStr">
        <is>
          <t>7.5</t>
        </is>
      </c>
      <c r="G31" s="12" t="inlineStr">
        <is>
          <t>2026</t>
        </is>
      </c>
    </row>
    <row r="32" ht="20" customHeight="1">
      <c r="A32" s="12" t="inlineStr">
        <is>
          <t>Valid Row 3</t>
        </is>
      </c>
      <c r="B32" s="12" t="inlineStr">
        <is>
          <t>Vipul Singh</t>
        </is>
      </c>
      <c r="C32" s="12" t="inlineStr">
        <is>
          <t>vipul.singh@demo.aivilabs.com</t>
        </is>
      </c>
      <c r="D32" s="12" t="inlineStr">
        <is>
          <t>SEC26ME243</t>
        </is>
      </c>
      <c r="E32" s="12" t="inlineStr">
        <is>
          <t>ME</t>
        </is>
      </c>
      <c r="F32" s="12" t="inlineStr">
        <is>
          <t>6.9</t>
        </is>
      </c>
      <c r="G32" s="12" t="inlineStr">
        <is>
          <t>2026</t>
        </is>
      </c>
    </row>
    <row r="33" ht="20" customHeight="1">
      <c r="A33" s="13" t="inlineStr">
        <is>
          <t>Bad Row (Duplicate)</t>
        </is>
      </c>
      <c r="B33" s="13" t="inlineStr">
        <is>
          <t>Rahul Mishra</t>
        </is>
      </c>
      <c r="C33" s="13" t="inlineStr">
        <is>
          <t>rahul.mishra@demo.aivilabs.com</t>
        </is>
      </c>
      <c r="D33" s="13" t="inlineStr">
        <is>
          <t>SEC26CSE099</t>
        </is>
      </c>
      <c r="E33" s="13" t="inlineStr">
        <is>
          <t>CSE</t>
        </is>
      </c>
      <c r="F33" s="13" t="inlineStr">
        <is>
          <t>7.1</t>
        </is>
      </c>
      <c r="G33" s="13" t="inlineStr">
        <is>
          <t>2026 (Duplicate enrollment SEC26CSE099 — expected row error)</t>
        </is>
      </c>
    </row>
  </sheetData>
  <mergeCells count="6">
    <mergeCell ref="A24:F24"/>
    <mergeCell ref="A1:F1"/>
    <mergeCell ref="A23:F23"/>
    <mergeCell ref="A22:F22"/>
    <mergeCell ref="A21:F2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8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18" customWidth="1" min="5" max="5"/>
    <col width="25" customWidth="1" min="6" max="6"/>
    <col width="45" customWidth="1" min="7" max="7"/>
    <col width="45" customWidth="1" min="8" max="8"/>
    <col width="35" customWidth="1" min="9" max="9"/>
    <col width="10" customWidth="1" min="10" max="10"/>
    <col width="14" customWidth="1" min="11" max="11"/>
    <col width="12" customWidth="1" min="12" max="12"/>
    <col width="30" customWidth="1" min="13" max="13"/>
    <col width="12" customWidth="1" min="14" max="14"/>
    <col width="14" customWidth="1" min="15" max="15"/>
    <col width="12" customWidth="1" min="16" max="16"/>
    <col width="16" customWidth="1" min="17" max="17"/>
  </cols>
  <sheetData>
    <row r="1" ht="35" customHeight="1">
      <c r="A1" s="1" t="inlineStr">
        <is>
          <t>AIVI CAREER &amp; CAMPUS OS — MASTER TEST SUITES TRACKER</t>
        </is>
      </c>
    </row>
    <row r="2" ht="28" customHeight="1">
      <c r="A2" s="4" t="inlineStr">
        <is>
          <t>Test ID</t>
        </is>
      </c>
      <c r="B2" s="4" t="inlineStr">
        <is>
          <t>Suite</t>
        </is>
      </c>
      <c r="C2" s="4" t="inlineStr">
        <is>
          <t>Module / Screen</t>
        </is>
      </c>
      <c r="D2" s="4" t="inlineStr">
        <is>
          <t>Route / URL</t>
        </is>
      </c>
      <c r="E2" s="4" t="inlineStr">
        <is>
          <t>Actor (account)</t>
        </is>
      </c>
      <c r="F2" s="4" t="inlineStr">
        <is>
          <t>Preconditions</t>
        </is>
      </c>
      <c r="G2" s="4" t="inlineStr">
        <is>
          <t>Test Steps (numbered, one per line)</t>
        </is>
      </c>
      <c r="H2" s="4" t="inlineStr">
        <is>
          <t>Expected Result (verbatim strings where known)</t>
        </is>
      </c>
      <c r="I2" s="4" t="inlineStr">
        <is>
          <t>If FAIL — Check These First</t>
        </is>
      </c>
      <c r="J2" s="4" t="inlineStr">
        <is>
          <t>Severity</t>
        </is>
      </c>
      <c r="K2" s="4" t="inlineStr">
        <is>
          <t>Env</t>
        </is>
      </c>
      <c r="L2" s="4" t="inlineStr">
        <is>
          <t>Status</t>
        </is>
      </c>
      <c r="M2" s="4" t="inlineStr">
        <is>
          <t>Actual Result (what you saw)</t>
        </is>
      </c>
      <c r="N2" s="4" t="inlineStr">
        <is>
          <t>Bug ID</t>
        </is>
      </c>
      <c r="O2" s="4" t="inlineStr">
        <is>
          <t>Tested By</t>
        </is>
      </c>
      <c r="P2" s="4" t="inlineStr">
        <is>
          <t>Date</t>
        </is>
      </c>
      <c r="Q2" s="4" t="inlineStr">
        <is>
          <t>Source</t>
        </is>
      </c>
    </row>
    <row r="3" ht="45" customHeight="1">
      <c r="A3" s="14" t="inlineStr">
        <is>
          <t>S00-T001</t>
        </is>
      </c>
      <c r="B3" s="15" t="inlineStr">
        <is>
          <t>S00 — PRODUCTION SMOKE</t>
        </is>
      </c>
      <c r="C3" s="15" t="inlineStr">
        <is>
          <t>Landing / Home</t>
        </is>
      </c>
      <c r="D3" s="16" t="inlineStr">
        <is>
          <t>/</t>
        </is>
      </c>
      <c r="E3" s="15" t="inlineStr">
        <is>
          <t>Unauthenticated</t>
        </is>
      </c>
      <c r="F3" s="15" t="inlineStr">
        <is>
          <t>Browser open</t>
        </is>
      </c>
      <c r="G3" s="17" t="inlineStr">
        <is>
          <t>1. Navigate to https://aivilabs.com/
2. Observe page header, hero section, and pricing table</t>
        </is>
      </c>
      <c r="H3" s="17" t="inlineStr">
        <is>
          <t>Page loads cleanly. Production header renders. No blank screens.</t>
        </is>
      </c>
      <c r="I3" s="17" t="inlineStr">
        <is>
          <t>1. Check internet connection
2. confirm the URL bar shows https://aivilabs.com (production)</t>
        </is>
      </c>
      <c r="J3" s="14" t="inlineStr">
        <is>
          <t>P0</t>
        </is>
      </c>
      <c r="K3" s="14" t="inlineStr">
        <is>
          <t>Production</t>
        </is>
      </c>
      <c r="L3" s="14" t="inlineStr">
        <is>
          <t>Not Run</t>
        </is>
      </c>
      <c r="M3" s="15" t="inlineStr"/>
      <c r="N3" s="14" t="inlineStr"/>
      <c r="O3" s="15" t="inlineStr"/>
      <c r="P3" s="15" t="inlineStr"/>
      <c r="Q3" s="16" t="inlineStr">
        <is>
          <t>ch01/§4, ch09/§3</t>
        </is>
      </c>
    </row>
    <row r="4" ht="45" customHeight="1">
      <c r="A4" s="18" t="inlineStr">
        <is>
          <t>S00-T002</t>
        </is>
      </c>
      <c r="B4" s="19" t="inlineStr">
        <is>
          <t>S00 — PRODUCTION SMOKE</t>
        </is>
      </c>
      <c r="C4" s="19" t="inlineStr">
        <is>
          <t>Auth Landing</t>
        </is>
      </c>
      <c r="D4" s="20" t="inlineStr">
        <is>
          <t>/auth</t>
        </is>
      </c>
      <c r="E4" s="19" t="inlineStr">
        <is>
          <t>Unauthenticated</t>
        </is>
      </c>
      <c r="F4" s="19" t="inlineStr">
        <is>
          <t>Browser open</t>
        </is>
      </c>
      <c r="G4" s="21" t="inlineStr">
        <is>
          <t>1. Click 'Sign In' button on header or navigate to /auth</t>
        </is>
      </c>
      <c r="H4" s="21" t="inlineStr">
        <is>
          <t>Auth card renders with options: Email/Password login, Signup tab, and 'Continue with Google' button.</t>
        </is>
      </c>
      <c r="I4" s="21" t="inlineStr">
        <is>
          <t>1. confirm the URL bar shows https://aivilabs.com (production)
2. Check console for script loading errors</t>
        </is>
      </c>
      <c r="J4" s="18" t="inlineStr">
        <is>
          <t>P0</t>
        </is>
      </c>
      <c r="K4" s="18" t="inlineStr">
        <is>
          <t>Production</t>
        </is>
      </c>
      <c r="L4" s="18" t="inlineStr">
        <is>
          <t>Not Run</t>
        </is>
      </c>
      <c r="M4" s="19" t="inlineStr"/>
      <c r="N4" s="18" t="inlineStr"/>
      <c r="O4" s="19" t="inlineStr"/>
      <c r="P4" s="19" t="inlineStr"/>
      <c r="Q4" s="20" t="inlineStr">
        <is>
          <t>ch02/Route-2</t>
        </is>
      </c>
    </row>
    <row r="5" ht="45" customHeight="1">
      <c r="A5" s="14" t="inlineStr">
        <is>
          <t>S00-T003</t>
        </is>
      </c>
      <c r="B5" s="15" t="inlineStr">
        <is>
          <t>S00 — PRODUCTION SMOKE</t>
        </is>
      </c>
      <c r="C5" s="15" t="inlineStr">
        <is>
          <t>Staff Login</t>
        </is>
      </c>
      <c r="D5" s="16" t="inlineStr">
        <is>
          <t>/campus/login</t>
        </is>
      </c>
      <c r="E5" s="15" t="inlineStr">
        <is>
          <t>TPO Admin</t>
        </is>
      </c>
      <c r="F5" s="15" t="inlineStr">
        <is>
          <t>TPO account exists</t>
        </is>
      </c>
      <c r="G5" s="17" t="inlineStr">
        <is>
          <t>1. Navigate to /campus/login
2. Enter tpo.director@demo.aivilabs.com and password DemoUser@2026
3. Click 'Sign In'</t>
        </is>
      </c>
      <c r="H5" s="17" t="inlineStr">
        <is>
          <t>Authentication succeeds. User lands on /campus showing 'Sunrise Engineering College TPO Command Center'.</t>
        </is>
      </c>
      <c r="I5" s="17" t="inlineStr">
        <is>
          <t>1. confirm the URL bar shows https://aivilabs.com (production)
2. Is email verified?
3. Is password exact (DemoUser@2026)?</t>
        </is>
      </c>
      <c r="J5" s="14" t="inlineStr">
        <is>
          <t>P0</t>
        </is>
      </c>
      <c r="K5" s="14" t="inlineStr">
        <is>
          <t>Production</t>
        </is>
      </c>
      <c r="L5" s="14" t="inlineStr">
        <is>
          <t>Not Run</t>
        </is>
      </c>
      <c r="M5" s="15" t="inlineStr"/>
      <c r="N5" s="14" t="inlineStr"/>
      <c r="O5" s="15" t="inlineStr"/>
      <c r="P5" s="15" t="inlineStr"/>
      <c r="Q5" s="16" t="inlineStr">
        <is>
          <t>ch03/FLOW-CAMPUS-01, ch11</t>
        </is>
      </c>
    </row>
    <row r="6" ht="45" customHeight="1">
      <c r="A6" s="18" t="inlineStr">
        <is>
          <t>S00-T004</t>
        </is>
      </c>
      <c r="B6" s="19" t="inlineStr">
        <is>
          <t>S00 — PRODUCTION SMOKE</t>
        </is>
      </c>
      <c r="C6" s="19" t="inlineStr">
        <is>
          <t>Campus Dashboard</t>
        </is>
      </c>
      <c r="D6" s="20" t="inlineStr">
        <is>
          <t>/campus</t>
        </is>
      </c>
      <c r="E6" s="19" t="inlineStr">
        <is>
          <t>TPO Admin</t>
        </is>
      </c>
      <c r="F6" s="19" t="inlineStr">
        <is>
          <t>Logged in as TPO Admin</t>
        </is>
      </c>
      <c r="G6" s="21" t="inlineStr">
        <is>
          <t>1. Observe /campus dashboard metrics and AES score band distribution</t>
        </is>
      </c>
      <c r="H6" s="21" t="inlineStr">
        <is>
          <t>Dashboard displays student count (242), active drives, and AES score bands (&lt;40, 40-60, 60-75, 75+).</t>
        </is>
      </c>
      <c r="I6" s="21" t="inlineStr">
        <is>
          <t>1. confirm the URL bar shows https://aivilabs.com (production)
2. Check if demo campus is seeded (ch.11)</t>
        </is>
      </c>
      <c r="J6" s="18" t="inlineStr">
        <is>
          <t>P1</t>
        </is>
      </c>
      <c r="K6" s="18" t="inlineStr">
        <is>
          <t>Production</t>
        </is>
      </c>
      <c r="L6" s="18" t="inlineStr">
        <is>
          <t>Not Run</t>
        </is>
      </c>
      <c r="M6" s="19" t="inlineStr"/>
      <c r="N6" s="18" t="inlineStr"/>
      <c r="O6" s="19" t="inlineStr"/>
      <c r="P6" s="19" t="inlineStr"/>
      <c r="Q6" s="20" t="inlineStr">
        <is>
          <t>ch03/FLOW-CAMPUS-01</t>
        </is>
      </c>
    </row>
    <row r="7" ht="45" customHeight="1">
      <c r="A7" s="14" t="inlineStr">
        <is>
          <t>S00-T005</t>
        </is>
      </c>
      <c r="B7" s="15" t="inlineStr">
        <is>
          <t>S00 — PRODUCTION SMOKE</t>
        </is>
      </c>
      <c r="C7" s="15" t="inlineStr">
        <is>
          <t>Student Login</t>
        </is>
      </c>
      <c r="D7" s="16" t="inlineStr">
        <is>
          <t>/auth</t>
        </is>
      </c>
      <c r="E7" s="15" t="inlineStr">
        <is>
          <t>Student 1</t>
        </is>
      </c>
      <c r="F7" s="15" t="inlineStr">
        <is>
          <t>Student account exists</t>
        </is>
      </c>
      <c r="G7" s="17" t="inlineStr">
        <is>
          <t>1. Navigate to /login
2. Enter student1@demo.aivilabs.com and password DemoStudent@2026
3. Click 'Sign In'</t>
        </is>
      </c>
      <c r="H7" s="17" t="inlineStr">
        <is>
          <t>Authentication succeeds. SPA redirects student to /dashboard.</t>
        </is>
      </c>
      <c r="I7" s="17" t="inlineStr">
        <is>
          <t>1. confirm the URL bar shows https://aivilabs.com (production)
2. Is email verified?
3. Check user claims</t>
        </is>
      </c>
      <c r="J7" s="14" t="inlineStr">
        <is>
          <t>P0</t>
        </is>
      </c>
      <c r="K7" s="14" t="inlineStr">
        <is>
          <t>Production</t>
        </is>
      </c>
      <c r="L7" s="14" t="inlineStr">
        <is>
          <t>Not Run</t>
        </is>
      </c>
      <c r="M7" s="15" t="inlineStr"/>
      <c r="N7" s="14" t="inlineStr"/>
      <c r="O7" s="15" t="inlineStr"/>
      <c r="P7" s="15" t="inlineStr"/>
      <c r="Q7" s="16" t="inlineStr">
        <is>
          <t>ch03/FLOW-AUTH-02, ch11</t>
        </is>
      </c>
    </row>
    <row r="8" ht="45" customHeight="1">
      <c r="A8" s="18" t="inlineStr">
        <is>
          <t>S00-T006</t>
        </is>
      </c>
      <c r="B8" s="19" t="inlineStr">
        <is>
          <t>S00 — PRODUCTION SMOKE</t>
        </is>
      </c>
      <c r="C8" s="19" t="inlineStr">
        <is>
          <t>Student Dashboard</t>
        </is>
      </c>
      <c r="D8" s="20" t="inlineStr">
        <is>
          <t>/dashboard</t>
        </is>
      </c>
      <c r="E8" s="19" t="inlineStr">
        <is>
          <t>Student 1</t>
        </is>
      </c>
      <c r="F8" s="19" t="inlineStr">
        <is>
          <t>Logged in as Student 1</t>
        </is>
      </c>
      <c r="G8" s="21" t="inlineStr">
        <is>
          <t>1. Observe B2C SaaS dashboard home</t>
        </is>
      </c>
      <c r="H8" s="21" t="inlineStr">
        <is>
          <t>Dashboard displays recent analysis history cards, usage limits, and quick action cards.</t>
        </is>
      </c>
      <c r="I8" s="21" t="inlineStr">
        <is>
          <t>1. confirm the URL bar shows https://aivilabs.com (production)
2. Verify AuthContext state</t>
        </is>
      </c>
      <c r="J8" s="18" t="inlineStr">
        <is>
          <t>P1</t>
        </is>
      </c>
      <c r="K8" s="18" t="inlineStr">
        <is>
          <t>Production</t>
        </is>
      </c>
      <c r="L8" s="18" t="inlineStr">
        <is>
          <t>Not Run</t>
        </is>
      </c>
      <c r="M8" s="19" t="inlineStr"/>
      <c r="N8" s="18" t="inlineStr"/>
      <c r="O8" s="19" t="inlineStr"/>
      <c r="P8" s="19" t="inlineStr"/>
      <c r="Q8" s="20" t="inlineStr">
        <is>
          <t>ch02/Route-20</t>
        </is>
      </c>
    </row>
    <row r="9" ht="45" customHeight="1">
      <c r="A9" s="14" t="inlineStr">
        <is>
          <t>S00-T007</t>
        </is>
      </c>
      <c r="B9" s="15" t="inlineStr">
        <is>
          <t>S00 — PRODUCTION SMOKE</t>
        </is>
      </c>
      <c r="C9" s="15" t="inlineStr">
        <is>
          <t>Resume Intelligence</t>
        </is>
      </c>
      <c r="D9" s="16" t="inlineStr">
        <is>
          <t>/dashboard/resume</t>
        </is>
      </c>
      <c r="E9" s="15" t="inlineStr">
        <is>
          <t>Student 1</t>
        </is>
      </c>
      <c r="F9" s="15" t="inlineStr">
        <is>
          <t>Logged in as Student 1</t>
        </is>
      </c>
      <c r="G9" s="17" t="inlineStr">
        <is>
          <t>1. Open /dashboard/resume
2. Paste sample resume text (&gt;=50 chars)
3. Click 'Run AI Resume Scoring'</t>
        </is>
      </c>
      <c r="H9" s="17" t="inlineStr">
        <is>
          <t>AI analysis completes. Screen displays overall score (0-100), Score Ring, ATS compatibility score, and bullet suggestions.</t>
        </is>
      </c>
      <c r="I9" s="17" t="inlineStr">
        <is>
          <t>1. confirm the URL bar shows https://aivilabs.com (production)
2. Check remaining Free plan uses
3. Check AI rate limit (3/min)</t>
        </is>
      </c>
      <c r="J9" s="14" t="inlineStr">
        <is>
          <t>P0</t>
        </is>
      </c>
      <c r="K9" s="14" t="inlineStr">
        <is>
          <t>Production</t>
        </is>
      </c>
      <c r="L9" s="14" t="inlineStr">
        <is>
          <t>Not Run</t>
        </is>
      </c>
      <c r="M9" s="15" t="inlineStr"/>
      <c r="N9" s="14" t="inlineStr"/>
      <c r="O9" s="15" t="inlineStr"/>
      <c r="P9" s="15" t="inlineStr"/>
      <c r="Q9" s="16" t="inlineStr">
        <is>
          <t>ch03/FLOW-B2C-01</t>
        </is>
      </c>
    </row>
    <row r="10" ht="45" customHeight="1">
      <c r="A10" s="18" t="inlineStr">
        <is>
          <t>S00-T008</t>
        </is>
      </c>
      <c r="B10" s="19" t="inlineStr">
        <is>
          <t>S00 — PRODUCTION SMOKE</t>
        </is>
      </c>
      <c r="C10" s="19" t="inlineStr">
        <is>
          <t>Public Contact</t>
        </is>
      </c>
      <c r="D10" s="20" t="inlineStr">
        <is>
          <t>/contact</t>
        </is>
      </c>
      <c r="E10" s="19" t="inlineStr">
        <is>
          <t>Unauthenticated</t>
        </is>
      </c>
      <c r="F10" s="19" t="inlineStr">
        <is>
          <t>Browser open</t>
        </is>
      </c>
      <c r="G10" s="21" t="inlineStr">
        <is>
          <t>1. Navigate to /contact
2. Observe contact form rendering</t>
        </is>
      </c>
      <c r="H10" s="21" t="inlineStr">
        <is>
          <t>Contact page renders with name, email, subject, message fields, and 'Send Message' CTA.</t>
        </is>
      </c>
      <c r="I10" s="21" t="inlineStr">
        <is>
          <t>1. confirm the URL bar shows https://aivilabs.com (production)</t>
        </is>
      </c>
      <c r="J10" s="18" t="inlineStr">
        <is>
          <t>P2</t>
        </is>
      </c>
      <c r="K10" s="18" t="inlineStr">
        <is>
          <t>Production</t>
        </is>
      </c>
      <c r="L10" s="18" t="inlineStr">
        <is>
          <t>Not Run</t>
        </is>
      </c>
      <c r="M10" s="19" t="inlineStr"/>
      <c r="N10" s="18" t="inlineStr"/>
      <c r="O10" s="19" t="inlineStr"/>
      <c r="P10" s="19" t="inlineStr"/>
      <c r="Q10" s="20" t="inlineStr">
        <is>
          <t>ch02/Route-10</t>
        </is>
      </c>
    </row>
    <row r="11" ht="45" customHeight="1">
      <c r="A11" s="14" t="inlineStr">
        <is>
          <t>S00-T009</t>
        </is>
      </c>
      <c r="B11" s="15" t="inlineStr">
        <is>
          <t>S00 — PRODUCTION SMOKE</t>
        </is>
      </c>
      <c r="C11" s="15" t="inlineStr">
        <is>
          <t>404 Error Page</t>
        </is>
      </c>
      <c r="D11" s="16" t="inlineStr">
        <is>
          <t>/non-existent-page-xyz</t>
        </is>
      </c>
      <c r="E11" s="15" t="inlineStr">
        <is>
          <t>Unauthenticated</t>
        </is>
      </c>
      <c r="F11" s="15" t="inlineStr">
        <is>
          <t>Browser open</t>
        </is>
      </c>
      <c r="G11" s="17" t="inlineStr">
        <is>
          <t>1. Navigate to https://aivilabs.com/non-existent-page-xyz</t>
        </is>
      </c>
      <c r="H11" s="17" t="inlineStr">
        <is>
          <t>Screen renders branded 404 view: 'Page Not Found', explaining page does not exist, with button 'Return to Home'.</t>
        </is>
      </c>
      <c r="I11" s="17" t="inlineStr">
        <is>
          <t>1. confirm the URL bar shows https://aivilabs.com (production)
2. Check App.tsx wildcard route</t>
        </is>
      </c>
      <c r="J11" s="14" t="inlineStr">
        <is>
          <t>P2</t>
        </is>
      </c>
      <c r="K11" s="14" t="inlineStr">
        <is>
          <t>Production</t>
        </is>
      </c>
      <c r="L11" s="14" t="inlineStr">
        <is>
          <t>Not Run</t>
        </is>
      </c>
      <c r="M11" s="15" t="inlineStr"/>
      <c r="N11" s="14" t="inlineStr"/>
      <c r="O11" s="15" t="inlineStr"/>
      <c r="P11" s="15" t="inlineStr"/>
      <c r="Q11" s="16" t="inlineStr">
        <is>
          <t>ch02/§2.1</t>
        </is>
      </c>
    </row>
    <row r="12" ht="45" customHeight="1">
      <c r="A12" s="18" t="inlineStr">
        <is>
          <t>S00-T010</t>
        </is>
      </c>
      <c r="B12" s="19" t="inlineStr">
        <is>
          <t>S00 — PRODUCTION SMOKE</t>
        </is>
      </c>
      <c r="C12" s="19" t="inlineStr">
        <is>
          <t>Mobile Viewport</t>
        </is>
      </c>
      <c r="D12" s="20" t="inlineStr">
        <is>
          <t>/</t>
        </is>
      </c>
      <c r="E12" s="19" t="inlineStr">
        <is>
          <t>Unauthenticated</t>
        </is>
      </c>
      <c r="F12" s="19" t="inlineStr">
        <is>
          <t>Chrome DevTools open (375px)</t>
        </is>
      </c>
      <c r="G12" s="21" t="inlineStr">
        <is>
          <t>1. Open DevTools (F12) -&gt; Toggle Device Toolbar -&gt; Select iPhone SE (375px width)
2. Load /</t>
        </is>
      </c>
      <c r="H12" s="21" t="inlineStr">
        <is>
          <t>Responsive layout renders without horizontal overflow or overlapping text. Mobile hamburger menu works.</t>
        </is>
      </c>
      <c r="I12" s="21" t="inlineStr">
        <is>
          <t>1. confirm the URL bar shows https://aivilabs.com (production)</t>
        </is>
      </c>
      <c r="J12" s="18" t="inlineStr">
        <is>
          <t>P2</t>
        </is>
      </c>
      <c r="K12" s="18" t="inlineStr">
        <is>
          <t>Production</t>
        </is>
      </c>
      <c r="L12" s="18" t="inlineStr">
        <is>
          <t>Not Run</t>
        </is>
      </c>
      <c r="M12" s="19" t="inlineStr"/>
      <c r="N12" s="18" t="inlineStr"/>
      <c r="O12" s="19" t="inlineStr"/>
      <c r="P12" s="19" t="inlineStr"/>
      <c r="Q12" s="20" t="inlineStr">
        <is>
          <t>ch01/§5</t>
        </is>
      </c>
    </row>
    <row r="13" ht="45" customHeight="1">
      <c r="A13" s="14" t="inlineStr">
        <is>
          <t>S01-T001</t>
        </is>
      </c>
      <c r="B13" s="15" t="inlineStr">
        <is>
          <t>S01 — AUTH &amp; ONBOARDING</t>
        </is>
      </c>
      <c r="C13" s="15" t="inlineStr">
        <is>
          <t>Email Registration</t>
        </is>
      </c>
      <c r="D13" s="16" t="inlineStr">
        <is>
          <t>/auth</t>
        </is>
      </c>
      <c r="E13" s="15" t="inlineStr">
        <is>
          <t>Public Visitor</t>
        </is>
      </c>
      <c r="F13" s="15" t="inlineStr">
        <is>
          <t>Throwaway email ready</t>
        </is>
      </c>
      <c r="G13" s="17" t="inlineStr">
        <is>
          <t>1. Open /auth -&gt; Click 'Sign Up' tab
2. Enter Name 'Test User', email 'qa.throwaway99@demo.aivilabs.com', password 'Password@123'
3. Click 'Create Account'</t>
        </is>
      </c>
      <c r="H13" s="17" t="inlineStr">
        <is>
          <t>Account created. SPA redirects to /verify-email showing message: 'Verification email sent to qa.throwaway99@demo.aivilabs.com.'</t>
        </is>
      </c>
      <c r="I13" s="17" t="inlineStr">
        <is>
          <t>1. confirm the URL bar shows https://aivilabs.com (production)
2. Did user already exist?</t>
        </is>
      </c>
      <c r="J13" s="14" t="inlineStr">
        <is>
          <t>P0</t>
        </is>
      </c>
      <c r="K13" s="14" t="inlineStr">
        <is>
          <t>Production</t>
        </is>
      </c>
      <c r="L13" s="14" t="inlineStr">
        <is>
          <t>Not Run</t>
        </is>
      </c>
      <c r="M13" s="15" t="inlineStr"/>
      <c r="N13" s="14" t="inlineStr"/>
      <c r="O13" s="15" t="inlineStr"/>
      <c r="P13" s="15" t="inlineStr"/>
      <c r="Q13" s="16" t="inlineStr">
        <is>
          <t>ch03/FLOW-AUTH-01</t>
        </is>
      </c>
    </row>
    <row r="14" ht="45" customHeight="1">
      <c r="A14" s="18" t="inlineStr">
        <is>
          <t>S01-T002</t>
        </is>
      </c>
      <c r="B14" s="19" t="inlineStr">
        <is>
          <t>S01 — AUTH &amp; ONBOARDING</t>
        </is>
      </c>
      <c r="C14" s="19" t="inlineStr">
        <is>
          <t>Duplicate Email Signup</t>
        </is>
      </c>
      <c r="D14" s="20" t="inlineStr">
        <is>
          <t>/auth</t>
        </is>
      </c>
      <c r="E14" s="19" t="inlineStr">
        <is>
          <t>Public Visitor</t>
        </is>
      </c>
      <c r="F14" s="19" t="inlineStr">
        <is>
          <t>Existing user email</t>
        </is>
      </c>
      <c r="G14" s="21" t="inlineStr">
        <is>
          <t>1. Open /auth -&gt; Sign Up tab
2. Enter existing email 'student1@demo.aivilabs.com' and password 'Password@123'
3. Click 'Create Account'</t>
        </is>
      </c>
      <c r="H14" s="21" t="inlineStr">
        <is>
          <t>Form displays verbatim alert message: 'An account with this email already exists.'</t>
        </is>
      </c>
      <c r="I14" s="21" t="inlineStr">
        <is>
          <t>1. confirm the URL bar shows https://aivilabs.com (production)
2. Check ERR-001 mapping in ch.08</t>
        </is>
      </c>
      <c r="J14" s="18" t="inlineStr">
        <is>
          <t>P1</t>
        </is>
      </c>
      <c r="K14" s="18" t="inlineStr">
        <is>
          <t>Production</t>
        </is>
      </c>
      <c r="L14" s="18" t="inlineStr">
        <is>
          <t>Not Run</t>
        </is>
      </c>
      <c r="M14" s="19" t="inlineStr"/>
      <c r="N14" s="18" t="inlineStr"/>
      <c r="O14" s="19" t="inlineStr"/>
      <c r="P14" s="19" t="inlineStr"/>
      <c r="Q14" s="20" t="inlineStr">
        <is>
          <t>ch08/ERR-001</t>
        </is>
      </c>
    </row>
    <row r="15" ht="45" customHeight="1">
      <c r="A15" s="14" t="inlineStr">
        <is>
          <t>S01-T003</t>
        </is>
      </c>
      <c r="B15" s="15" t="inlineStr">
        <is>
          <t>S01 — AUTH &amp; ONBOARDING</t>
        </is>
      </c>
      <c r="C15" s="15" t="inlineStr">
        <is>
          <t>Weak Password Signup</t>
        </is>
      </c>
      <c r="D15" s="16" t="inlineStr">
        <is>
          <t>/auth</t>
        </is>
      </c>
      <c r="E15" s="15" t="inlineStr">
        <is>
          <t>Public Visitor</t>
        </is>
      </c>
      <c r="F15" s="15" t="inlineStr">
        <is>
          <t>Throwaway email ready</t>
        </is>
      </c>
      <c r="G15" s="17" t="inlineStr">
        <is>
          <t>1. Open /auth -&gt; Sign Up tab
2. Enter email 'qa.weakpass@demo.aivilabs.com' and password '12345' (&lt;6 chars)
3. Click 'Create Account'</t>
        </is>
      </c>
      <c r="H15" s="17" t="inlineStr">
        <is>
          <t>Form displays verbatim inline error: 'Password should be at least 6 characters.'</t>
        </is>
      </c>
      <c r="I15" s="17" t="inlineStr">
        <is>
          <t>1. confirm the URL bar shows https://aivilabs.com (production)
2. Check ERR-002 mapping in ch.08</t>
        </is>
      </c>
      <c r="J15" s="14" t="inlineStr">
        <is>
          <t>P2</t>
        </is>
      </c>
      <c r="K15" s="14" t="inlineStr">
        <is>
          <t>Production</t>
        </is>
      </c>
      <c r="L15" s="14" t="inlineStr">
        <is>
          <t>Not Run</t>
        </is>
      </c>
      <c r="M15" s="15" t="inlineStr"/>
      <c r="N15" s="14" t="inlineStr"/>
      <c r="O15" s="15" t="inlineStr"/>
      <c r="P15" s="15" t="inlineStr"/>
      <c r="Q15" s="16" t="inlineStr">
        <is>
          <t>ch08/ERR-002</t>
        </is>
      </c>
    </row>
    <row r="16" ht="45" customHeight="1">
      <c r="A16" s="18" t="inlineStr">
        <is>
          <t>S01-T004</t>
        </is>
      </c>
      <c r="B16" s="19" t="inlineStr">
        <is>
          <t>S01 — AUTH &amp; ONBOARDING</t>
        </is>
      </c>
      <c r="C16" s="19" t="inlineStr">
        <is>
          <t>Verified Email Login</t>
        </is>
      </c>
      <c r="D16" s="20" t="inlineStr">
        <is>
          <t>/auth</t>
        </is>
      </c>
      <c r="E16" s="19" t="inlineStr">
        <is>
          <t>Student 1</t>
        </is>
      </c>
      <c r="F16" s="19" t="inlineStr">
        <is>
          <t>Verified account</t>
        </is>
      </c>
      <c r="G16" s="21" t="inlineStr">
        <is>
          <t>1. Open /login
2. Enter student1@demo.aivilabs.com and password DemoStudent@2026
3. Click 'Sign In'</t>
        </is>
      </c>
      <c r="H16" s="21" t="inlineStr">
        <is>
          <t>Authentication succeeds. AuthContext loads custom claims ({ role: 'student', tenantId: 'demo-sunrise' }). Redirects to /dashboard.</t>
        </is>
      </c>
      <c r="I16" s="21" t="inlineStr">
        <is>
          <t>1. confirm the URL bar shows https://aivilabs.com (production)
2. Verify emailVerified is true in auth record</t>
        </is>
      </c>
      <c r="J16" s="18" t="inlineStr">
        <is>
          <t>P0</t>
        </is>
      </c>
      <c r="K16" s="18" t="inlineStr">
        <is>
          <t>Production</t>
        </is>
      </c>
      <c r="L16" s="18" t="inlineStr">
        <is>
          <t>Not Run</t>
        </is>
      </c>
      <c r="M16" s="19" t="inlineStr"/>
      <c r="N16" s="18" t="inlineStr"/>
      <c r="O16" s="19" t="inlineStr"/>
      <c r="P16" s="19" t="inlineStr"/>
      <c r="Q16" s="20" t="inlineStr">
        <is>
          <t>ch03/FLOW-AUTH-02</t>
        </is>
      </c>
    </row>
    <row r="17" ht="45" customHeight="1">
      <c r="A17" s="14" t="inlineStr">
        <is>
          <t>S01-T005</t>
        </is>
      </c>
      <c r="B17" s="15" t="inlineStr">
        <is>
          <t>S01 — AUTH &amp; ONBOARDING</t>
        </is>
      </c>
      <c r="C17" s="15" t="inlineStr">
        <is>
          <t>Unverified Email Login</t>
        </is>
      </c>
      <c r="D17" s="16" t="inlineStr">
        <is>
          <t>/auth</t>
        </is>
      </c>
      <c r="E17" s="15" t="inlineStr">
        <is>
          <t>Unverified User</t>
        </is>
      </c>
      <c r="F17" s="15" t="inlineStr">
        <is>
          <t>Unverified account created in S01-T001</t>
        </is>
      </c>
      <c r="G17" s="17" t="inlineStr">
        <is>
          <t>1. Open /login
2. Enter qa.throwaway99@demo.aivilabs.com and password Password@123
3. Click 'Sign In'</t>
        </is>
      </c>
      <c r="H17" s="17" t="inlineStr">
        <is>
          <t>User is authenticated BUT ProtectedRoute blocks dashboard access. Redirects to /verify-email with banner: 'Email verification required.'</t>
        </is>
      </c>
      <c r="I17" s="17" t="inlineStr">
        <is>
          <t>1. confirm the URL bar shows https://aivilabs.com (production)
2. Check ProtectedRoute logic (ch.05)
3. Check ERR-004 in ch.08</t>
        </is>
      </c>
      <c r="J17" s="14" t="inlineStr">
        <is>
          <t>P0</t>
        </is>
      </c>
      <c r="K17" s="14" t="inlineStr">
        <is>
          <t>Production</t>
        </is>
      </c>
      <c r="L17" s="14" t="inlineStr">
        <is>
          <t>Not Run</t>
        </is>
      </c>
      <c r="M17" s="15" t="inlineStr"/>
      <c r="N17" s="14" t="inlineStr"/>
      <c r="O17" s="15" t="inlineStr"/>
      <c r="P17" s="15" t="inlineStr"/>
      <c r="Q17" s="16" t="inlineStr">
        <is>
          <t>ch03/FLOW-AUTH-02, ch08/ERR-004</t>
        </is>
      </c>
    </row>
    <row r="18" ht="45" customHeight="1">
      <c r="A18" s="18" t="inlineStr">
        <is>
          <t>S01-T006</t>
        </is>
      </c>
      <c r="B18" s="19" t="inlineStr">
        <is>
          <t>S01 — AUTH &amp; ONBOARDING</t>
        </is>
      </c>
      <c r="C18" s="19" t="inlineStr">
        <is>
          <t>Invalid Password Login</t>
        </is>
      </c>
      <c r="D18" s="20" t="inlineStr">
        <is>
          <t>/auth</t>
        </is>
      </c>
      <c r="E18" s="19" t="inlineStr">
        <is>
          <t>Student 1</t>
        </is>
      </c>
      <c r="F18" s="19" t="inlineStr">
        <is>
          <t>Student account exists</t>
        </is>
      </c>
      <c r="G18" s="21" t="inlineStr">
        <is>
          <t>1. Open /login
2. Enter student1@demo.aivilabs.com and WRONG password 'WrongPassword123'
3. Click 'Sign In'</t>
        </is>
      </c>
      <c r="H18" s="21" t="inlineStr">
        <is>
          <t>Form displays verbatim error: 'Invalid email or password.'</t>
        </is>
      </c>
      <c r="I18" s="21" t="inlineStr">
        <is>
          <t>1. confirm the URL bar shows https://aivilabs.com (production)
2. Check caps lock
3. Check ERR-003 in ch.08</t>
        </is>
      </c>
      <c r="J18" s="18" t="inlineStr">
        <is>
          <t>P1</t>
        </is>
      </c>
      <c r="K18" s="18" t="inlineStr">
        <is>
          <t>Production</t>
        </is>
      </c>
      <c r="L18" s="18" t="inlineStr">
        <is>
          <t>Not Run</t>
        </is>
      </c>
      <c r="M18" s="19" t="inlineStr"/>
      <c r="N18" s="18" t="inlineStr"/>
      <c r="O18" s="19" t="inlineStr"/>
      <c r="P18" s="19" t="inlineStr"/>
      <c r="Q18" s="20" t="inlineStr">
        <is>
          <t>ch08/ERR-003</t>
        </is>
      </c>
    </row>
    <row r="19" ht="45" customHeight="1">
      <c r="A19" s="14" t="inlineStr">
        <is>
          <t>S01-T007</t>
        </is>
      </c>
      <c r="B19" s="15" t="inlineStr">
        <is>
          <t>S01 — AUTH &amp; ONBOARDING</t>
        </is>
      </c>
      <c r="C19" s="15" t="inlineStr">
        <is>
          <t>Google OAuth Login</t>
        </is>
      </c>
      <c r="D19" s="16" t="inlineStr">
        <is>
          <t>/auth</t>
        </is>
      </c>
      <c r="E19" s="15" t="inlineStr">
        <is>
          <t>Public Visitor</t>
        </is>
      </c>
      <c r="F19" s="15" t="inlineStr">
        <is>
          <t>Google account ready</t>
        </is>
      </c>
      <c r="G19" s="17" t="inlineStr">
        <is>
          <t>1. Open /auth
2. Click 'Continue with Google'
3. Complete OAuth popup dialog</t>
        </is>
      </c>
      <c r="H19" s="17" t="inlineStr">
        <is>
          <t>Google SSO completes. User profile auto-created with emailVerified: true. Redirects to /dashboard.</t>
        </is>
      </c>
      <c r="I19" s="17" t="inlineStr">
        <is>
          <t>1. confirm the URL bar shows https://aivilabs.com (production)
2. Allow pop-ups in browser</t>
        </is>
      </c>
      <c r="J19" s="14" t="inlineStr">
        <is>
          <t>P0</t>
        </is>
      </c>
      <c r="K19" s="14" t="inlineStr">
        <is>
          <t>Production</t>
        </is>
      </c>
      <c r="L19" s="14" t="inlineStr">
        <is>
          <t>Not Run</t>
        </is>
      </c>
      <c r="M19" s="15" t="inlineStr"/>
      <c r="N19" s="14" t="inlineStr"/>
      <c r="O19" s="15" t="inlineStr"/>
      <c r="P19" s="15" t="inlineStr"/>
      <c r="Q19" s="16" t="inlineStr">
        <is>
          <t>ch03/FLOW-AUTH-03</t>
        </is>
      </c>
    </row>
    <row r="20" ht="45" customHeight="1">
      <c r="A20" s="18" t="inlineStr">
        <is>
          <t>S01-T008</t>
        </is>
      </c>
      <c r="B20" s="19" t="inlineStr">
        <is>
          <t>S01 — AUTH &amp; ONBOARDING</t>
        </is>
      </c>
      <c r="C20" s="19" t="inlineStr">
        <is>
          <t>Google Popup Closed</t>
        </is>
      </c>
      <c r="D20" s="20" t="inlineStr">
        <is>
          <t>/auth</t>
        </is>
      </c>
      <c r="E20" s="19" t="inlineStr">
        <is>
          <t>Public Visitor</t>
        </is>
      </c>
      <c r="F20" s="19" t="inlineStr">
        <is>
          <t>Browser popups allowed</t>
        </is>
      </c>
      <c r="G20" s="21" t="inlineStr">
        <is>
          <t>1. Open /auth
2. Click 'Continue with Google'
3. Immediately close the Google OAuth popup window</t>
        </is>
      </c>
      <c r="H20" s="21" t="inlineStr">
        <is>
          <t>Client catches cancellation. Displays toast: 'Google sign-in popup was closed.'</t>
        </is>
      </c>
      <c r="I20" s="21" t="inlineStr">
        <is>
          <t>1. confirm the URL bar shows https://aivilabs.com (production)
2. Check ERR-005 in ch.08</t>
        </is>
      </c>
      <c r="J20" s="18" t="inlineStr">
        <is>
          <t>P2</t>
        </is>
      </c>
      <c r="K20" s="18" t="inlineStr">
        <is>
          <t>Production</t>
        </is>
      </c>
      <c r="L20" s="18" t="inlineStr">
        <is>
          <t>Not Run</t>
        </is>
      </c>
      <c r="M20" s="19" t="inlineStr"/>
      <c r="N20" s="18" t="inlineStr"/>
      <c r="O20" s="19" t="inlineStr"/>
      <c r="P20" s="19" t="inlineStr"/>
      <c r="Q20" s="20" t="inlineStr">
        <is>
          <t>ch08/ERR-005</t>
        </is>
      </c>
    </row>
    <row r="21" ht="45" customHeight="1">
      <c r="A21" s="14" t="inlineStr">
        <is>
          <t>S01-T009</t>
        </is>
      </c>
      <c r="B21" s="15" t="inlineStr">
        <is>
          <t>S01 — AUTH &amp; ONBOARDING</t>
        </is>
      </c>
      <c r="C21" s="15" t="inlineStr">
        <is>
          <t>Google Popup Blocked</t>
        </is>
      </c>
      <c r="D21" s="16" t="inlineStr">
        <is>
          <t>/auth</t>
        </is>
      </c>
      <c r="E21" s="15" t="inlineStr">
        <is>
          <t>Public Visitor</t>
        </is>
      </c>
      <c r="F21" s="15" t="inlineStr">
        <is>
          <t>Browser popups BLOCKED</t>
        </is>
      </c>
      <c r="G21" s="17" t="inlineStr">
        <is>
          <t>1. Block popups in Chrome settings
2. Open /auth
3. Click 'Continue with Google'</t>
        </is>
      </c>
      <c r="H21" s="17" t="inlineStr">
        <is>
          <t>Client catches popup error. Displays alert: 'Popup blocked by browser. Enable popups to sign in with Google.'</t>
        </is>
      </c>
      <c r="I21" s="17" t="inlineStr">
        <is>
          <t>1. confirm the URL bar shows https://aivilabs.com (production)
2. Check ERR-006 in ch.08</t>
        </is>
      </c>
      <c r="J21" s="14" t="inlineStr">
        <is>
          <t>P2</t>
        </is>
      </c>
      <c r="K21" s="14" t="inlineStr">
        <is>
          <t>Production</t>
        </is>
      </c>
      <c r="L21" s="14" t="inlineStr">
        <is>
          <t>Not Run</t>
        </is>
      </c>
      <c r="M21" s="15" t="inlineStr"/>
      <c r="N21" s="14" t="inlineStr"/>
      <c r="O21" s="15" t="inlineStr"/>
      <c r="P21" s="15" t="inlineStr"/>
      <c r="Q21" s="16" t="inlineStr">
        <is>
          <t>ch08/ERR-006</t>
        </is>
      </c>
    </row>
    <row r="22" ht="45" customHeight="1">
      <c r="A22" s="18" t="inlineStr">
        <is>
          <t>S01-T010</t>
        </is>
      </c>
      <c r="B22" s="19" t="inlineStr">
        <is>
          <t>S01 — AUTH &amp; ONBOARDING</t>
        </is>
      </c>
      <c r="C22" s="19" t="inlineStr">
        <is>
          <t>Forgot Password</t>
        </is>
      </c>
      <c r="D22" s="20" t="inlineStr">
        <is>
          <t>/auth</t>
        </is>
      </c>
      <c r="E22" s="19" t="inlineStr">
        <is>
          <t>Registered User</t>
        </is>
      </c>
      <c r="F22" s="19" t="inlineStr">
        <is>
          <t>User email ready</t>
        </is>
      </c>
      <c r="G22" s="21" t="inlineStr">
        <is>
          <t>1. Open /auth
2. Click 'Forgot Password?'
3. Enter email 'student1@demo.aivilabs.com' and click 'Send Reset Link'</t>
        </is>
      </c>
      <c r="H22" s="21" t="inlineStr">
        <is>
          <t>Form displays anti-enumeration toast: 'If an account exists for this email, a reset link has been sent.' Password reset email dispatched.</t>
        </is>
      </c>
      <c r="I22" s="21" t="inlineStr">
        <is>
          <t>1. confirm the URL bar shows https://aivilabs.com (production)
2. Check ERR-007 in ch.08</t>
        </is>
      </c>
      <c r="J22" s="18" t="inlineStr">
        <is>
          <t>P1</t>
        </is>
      </c>
      <c r="K22" s="18" t="inlineStr">
        <is>
          <t>Production</t>
        </is>
      </c>
      <c r="L22" s="18" t="inlineStr">
        <is>
          <t>Not Run</t>
        </is>
      </c>
      <c r="M22" s="19" t="inlineStr"/>
      <c r="N22" s="18" t="inlineStr"/>
      <c r="O22" s="19" t="inlineStr"/>
      <c r="P22" s="19" t="inlineStr"/>
      <c r="Q22" s="20" t="inlineStr">
        <is>
          <t>ch03/FLOW-AUTH-04, ch08/ERR-007</t>
        </is>
      </c>
    </row>
    <row r="23" ht="45" customHeight="1">
      <c r="A23" s="14" t="inlineStr">
        <is>
          <t>S01-T011</t>
        </is>
      </c>
      <c r="B23" s="15" t="inlineStr">
        <is>
          <t>S01 — AUTH &amp; ONBOARDING</t>
        </is>
      </c>
      <c r="C23" s="15" t="inlineStr">
        <is>
          <t>Password Reset Link</t>
        </is>
      </c>
      <c r="D23" s="16" t="inlineStr">
        <is>
          <t>/__/auth/action</t>
        </is>
      </c>
      <c r="E23" s="15" t="inlineStr">
        <is>
          <t>Registered User</t>
        </is>
      </c>
      <c r="F23" s="15" t="inlineStr">
        <is>
          <t>Reset email received</t>
        </is>
      </c>
      <c r="G23" s="17" t="inlineStr">
        <is>
          <t>1. Open password reset link from email
2. Observe URL domain redirection (302 redirect to Firebase domain per ch.02 §2.2)
3. Input new password and submit</t>
        </is>
      </c>
      <c r="H23" s="17" t="inlineStr">
        <is>
          <t>Password updated successfully in Firebase Auth. User can log in with new password.</t>
        </is>
      </c>
      <c r="I23" s="17" t="inlineStr">
        <is>
          <t>1. confirm the URL bar shows https://aivilabs.com (production)
2. Verify .htaccess rewrite rule (ch.01 §3.1)</t>
        </is>
      </c>
      <c r="J23" s="14" t="inlineStr">
        <is>
          <t>P1</t>
        </is>
      </c>
      <c r="K23" s="14" t="inlineStr">
        <is>
          <t>Production</t>
        </is>
      </c>
      <c r="L23" s="14" t="inlineStr">
        <is>
          <t>Not Run</t>
        </is>
      </c>
      <c r="M23" s="15" t="inlineStr"/>
      <c r="N23" s="14" t="inlineStr"/>
      <c r="O23" s="15" t="inlineStr"/>
      <c r="P23" s="15" t="inlineStr"/>
      <c r="Q23" s="16" t="inlineStr">
        <is>
          <t>ch02/§2.2</t>
        </is>
      </c>
    </row>
    <row r="24" ht="45" customHeight="1">
      <c r="A24" s="18" t="inlineStr">
        <is>
          <t>S01-T012</t>
        </is>
      </c>
      <c r="B24" s="19" t="inlineStr">
        <is>
          <t>S01 — AUTH &amp; ONBOARDING</t>
        </is>
      </c>
      <c r="C24" s="19" t="inlineStr">
        <is>
          <t>Resend Verification</t>
        </is>
      </c>
      <c r="D24" s="20" t="inlineStr">
        <is>
          <t>/verify-email</t>
        </is>
      </c>
      <c r="E24" s="19" t="inlineStr">
        <is>
          <t>Unverified User</t>
        </is>
      </c>
      <c r="F24" s="19" t="inlineStr">
        <is>
          <t>Logged in as unverified user</t>
        </is>
      </c>
      <c r="G24" s="21" t="inlineStr">
        <is>
          <t>1. On /verify-email, click 'Resend Verification Email' button</t>
        </is>
      </c>
      <c r="H24" s="21" t="inlineStr">
        <is>
          <t>Toast displays: 'Verification email sent. Please check your inbox.' Cooldown timer activates.</t>
        </is>
      </c>
      <c r="I24" s="21" t="inlineStr">
        <is>
          <t>1. confirm the URL bar shows https://aivilabs.com (production)
2. Check Firebase Auth sendEmailVerification</t>
        </is>
      </c>
      <c r="J24" s="18" t="inlineStr">
        <is>
          <t>P2</t>
        </is>
      </c>
      <c r="K24" s="18" t="inlineStr">
        <is>
          <t>Production</t>
        </is>
      </c>
      <c r="L24" s="18" t="inlineStr">
        <is>
          <t>Not Run</t>
        </is>
      </c>
      <c r="M24" s="19" t="inlineStr"/>
      <c r="N24" s="18" t="inlineStr"/>
      <c r="O24" s="19" t="inlineStr"/>
      <c r="P24" s="19" t="inlineStr"/>
      <c r="Q24" s="20" t="inlineStr">
        <is>
          <t>ch03/FLOW-AUTH-01</t>
        </is>
      </c>
    </row>
    <row r="25" ht="45" customHeight="1">
      <c r="A25" s="14" t="inlineStr">
        <is>
          <t>S01-T013</t>
        </is>
      </c>
      <c r="B25" s="15" t="inlineStr">
        <is>
          <t>S01 — AUTH &amp; ONBOARDING</t>
        </is>
      </c>
      <c r="C25" s="15" t="inlineStr">
        <is>
          <t>Delete Account Precondition</t>
        </is>
      </c>
      <c r="D25" s="16" t="inlineStr">
        <is>
          <t>/dashboard/settings</t>
        </is>
      </c>
      <c r="E25" s="15" t="inlineStr">
        <is>
          <t>Throwaway User</t>
        </is>
      </c>
      <c r="F25" s="15" t="inlineStr">
        <is>
          <t>FOUNDER-ONLY — Throwaway account created for testing</t>
        </is>
      </c>
      <c r="G25" s="17" t="inlineStr">
        <is>
          <t>1. Log in as founder-approved throwaway user created in S01-T001
2. Open /dashboard/settings
3. Scroll to Danger Zone section</t>
        </is>
      </c>
      <c r="H25" s="17" t="inlineStr">
        <is>
          <t>FOUNDER-ONLY / FOUNDER-VERIFY — Danger Zone section renders displaying 'Delete Account' button and warning text.</t>
        </is>
      </c>
      <c r="I25" s="17" t="inlineStr">
        <is>
          <t>1. MUST be run BY FOUNDER ONLY on production
2. confirm the URL bar shows https://aivilabs.com (production)</t>
        </is>
      </c>
      <c r="J25" s="14" t="inlineStr">
        <is>
          <t>P1</t>
        </is>
      </c>
      <c r="K25" s="14" t="inlineStr">
        <is>
          <t>Production</t>
        </is>
      </c>
      <c r="L25" s="14" t="inlineStr">
        <is>
          <t>Not Run</t>
        </is>
      </c>
      <c r="M25" s="15" t="inlineStr"/>
      <c r="N25" s="14" t="inlineStr"/>
      <c r="O25" s="15" t="inlineStr"/>
      <c r="P25" s="15" t="inlineStr"/>
      <c r="Q25" s="16" t="inlineStr">
        <is>
          <t>ch03/FLOW-AUTH-05</t>
        </is>
      </c>
    </row>
    <row r="26" ht="45" customHeight="1">
      <c r="A26" s="18" t="inlineStr">
        <is>
          <t>S01-T014</t>
        </is>
      </c>
      <c r="B26" s="19" t="inlineStr">
        <is>
          <t>S01 — AUTH &amp; ONBOARDING</t>
        </is>
      </c>
      <c r="C26" s="19" t="inlineStr">
        <is>
          <t>Delete Account Execution</t>
        </is>
      </c>
      <c r="D26" s="20" t="inlineStr">
        <is>
          <t>/dashboard/settings</t>
        </is>
      </c>
      <c r="E26" s="19" t="inlineStr">
        <is>
          <t>Throwaway User</t>
        </is>
      </c>
      <c r="F26" s="19" t="inlineStr">
        <is>
          <t>FOUNDER-ONLY — Logged in on throwaway account</t>
        </is>
      </c>
      <c r="G26" s="21" t="inlineStr">
        <is>
          <t>1. In Danger Zone, type 'DELETE MY ACCOUNT' into confirmation input
2. Click 'Permanently Delete Account' button</t>
        </is>
      </c>
      <c r="H26" s="21" t="inlineStr">
        <is>
          <t>FOUNDER-ONLY / FOUNDER-VERIFY — Everything tested is LIVE product; account deletion strictly founder-gated.</t>
        </is>
      </c>
      <c r="I26" s="21" t="inlineStr">
        <is>
          <t>1. STRICTLY FOUNDER ONLY
2. confirm the URL bar shows https://aivilabs.com (production)</t>
        </is>
      </c>
      <c r="J26" s="18" t="inlineStr">
        <is>
          <t>P0</t>
        </is>
      </c>
      <c r="K26" s="18" t="inlineStr">
        <is>
          <t>Production</t>
        </is>
      </c>
      <c r="L26" s="18" t="inlineStr">
        <is>
          <t>Not Run</t>
        </is>
      </c>
      <c r="M26" s="19" t="inlineStr"/>
      <c r="N26" s="18" t="inlineStr"/>
      <c r="O26" s="19" t="inlineStr"/>
      <c r="P26" s="19" t="inlineStr"/>
      <c r="Q26" s="20" t="inlineStr">
        <is>
          <t>ch03/FLOW-AUTH-05</t>
        </is>
      </c>
    </row>
    <row r="27" ht="45" customHeight="1">
      <c r="A27" s="14" t="inlineStr">
        <is>
          <t>S01-T015</t>
        </is>
      </c>
      <c r="B27" s="15" t="inlineStr">
        <is>
          <t>S01 — AUTH &amp; ONBOARDING</t>
        </is>
      </c>
      <c r="C27" s="15" t="inlineStr">
        <is>
          <t>Session Persistence</t>
        </is>
      </c>
      <c r="D27" s="16" t="inlineStr">
        <is>
          <t>/dashboard</t>
        </is>
      </c>
      <c r="E27" s="15" t="inlineStr">
        <is>
          <t>Student 1</t>
        </is>
      </c>
      <c r="F27" s="15" t="inlineStr">
        <is>
          <t>Logged in as Student 1</t>
        </is>
      </c>
      <c r="G27" s="17" t="inlineStr">
        <is>
          <t>1. Log in as Student 1
2. Close browser tab
3. Open new tab and navigate to https://aivilabs.com/dashboard</t>
        </is>
      </c>
      <c r="H27" s="17" t="inlineStr">
        <is>
          <t>User session persists automatically via browserLocalPersistence. Dashboard loads without requiring re-login.</t>
        </is>
      </c>
      <c r="I27" s="17" t="inlineStr">
        <is>
          <t>1. confirm the URL bar shows https://aivilabs.com (production)
2. Check client.ts auth persistence setting (ch.01 §1.1)</t>
        </is>
      </c>
      <c r="J27" s="14" t="inlineStr">
        <is>
          <t>P1</t>
        </is>
      </c>
      <c r="K27" s="14" t="inlineStr">
        <is>
          <t>Production</t>
        </is>
      </c>
      <c r="L27" s="14" t="inlineStr">
        <is>
          <t>Not Run</t>
        </is>
      </c>
      <c r="M27" s="15" t="inlineStr"/>
      <c r="N27" s="14" t="inlineStr"/>
      <c r="O27" s="15" t="inlineStr"/>
      <c r="P27" s="15" t="inlineStr"/>
      <c r="Q27" s="16" t="inlineStr">
        <is>
          <t>ch05/§1.1</t>
        </is>
      </c>
    </row>
    <row r="28" ht="45" customHeight="1">
      <c r="A28" s="18" t="inlineStr">
        <is>
          <t>S01-T016</t>
        </is>
      </c>
      <c r="B28" s="19" t="inlineStr">
        <is>
          <t>S01 — AUTH &amp; ONBOARDING</t>
        </is>
      </c>
      <c r="C28" s="19" t="inlineStr">
        <is>
          <t>User Sign Out</t>
        </is>
      </c>
      <c r="D28" s="20" t="inlineStr">
        <is>
          <t>/dashboard</t>
        </is>
      </c>
      <c r="E28" s="19" t="inlineStr">
        <is>
          <t>Student 1</t>
        </is>
      </c>
      <c r="F28" s="19" t="inlineStr">
        <is>
          <t>Logged in as Student 1</t>
        </is>
      </c>
      <c r="G28" s="21" t="inlineStr">
        <is>
          <t>1. Click user avatar in top header
2. Select 'Sign Out' from dropdown menu</t>
        </is>
      </c>
      <c r="H28" s="21" t="inlineStr">
        <is>
          <t>Auth session terminated. User redirected to /auth or landing page. Navigating back to /dashboard redirects to /auth.</t>
        </is>
      </c>
      <c r="I28" s="21" t="inlineStr">
        <is>
          <t>1. confirm the URL bar shows https://aivilabs.com (production)
2. Check AuthContext signOut function</t>
        </is>
      </c>
      <c r="J28" s="18" t="inlineStr">
        <is>
          <t>P1</t>
        </is>
      </c>
      <c r="K28" s="18" t="inlineStr">
        <is>
          <t>Production</t>
        </is>
      </c>
      <c r="L28" s="18" t="inlineStr">
        <is>
          <t>Not Run</t>
        </is>
      </c>
      <c r="M28" s="19" t="inlineStr"/>
      <c r="N28" s="18" t="inlineStr"/>
      <c r="O28" s="19" t="inlineStr"/>
      <c r="P28" s="19" t="inlineStr"/>
      <c r="Q28" s="20" t="inlineStr">
        <is>
          <t>ch05/§1.1</t>
        </is>
      </c>
    </row>
    <row r="29" ht="45" customHeight="1">
      <c r="A29" s="14" t="inlineStr">
        <is>
          <t>S01-T017</t>
        </is>
      </c>
      <c r="B29" s="15" t="inlineStr">
        <is>
          <t>S01 — AUTH &amp; ONBOARDING</t>
        </is>
      </c>
      <c r="C29" s="15" t="inlineStr">
        <is>
          <t>Branded Campus Login</t>
        </is>
      </c>
      <c r="D29" s="16" t="inlineStr">
        <is>
          <t>/campus/login/demo-sunrise</t>
        </is>
      </c>
      <c r="E29" s="15" t="inlineStr">
        <is>
          <t>Public Visitor</t>
        </is>
      </c>
      <c r="F29" s="15" t="inlineStr">
        <is>
          <t>Browser open</t>
        </is>
      </c>
      <c r="G29" s="17" t="inlineStr">
        <is>
          <t>1. Navigate to /campus/login/demo-sunrise</t>
        </is>
      </c>
      <c r="H29" s="17" t="inlineStr">
        <is>
          <t>Page loads custom Sunrise Engineering College branding: Primary color #169C8F, headline 'Sunrise Engineering College TPO Command Center'.</t>
        </is>
      </c>
      <c r="I29" s="17" t="inlineStr">
        <is>
          <t>1. confirm the URL bar shows https://aivilabs.com (production)
2. Check getTenantBranding endpoint (ch.06/Domain D)</t>
        </is>
      </c>
      <c r="J29" s="14" t="inlineStr">
        <is>
          <t>P1</t>
        </is>
      </c>
      <c r="K29" s="14" t="inlineStr">
        <is>
          <t>Production</t>
        </is>
      </c>
      <c r="L29" s="14" t="inlineStr">
        <is>
          <t>Not Run</t>
        </is>
      </c>
      <c r="M29" s="15" t="inlineStr"/>
      <c r="N29" s="14" t="inlineStr"/>
      <c r="O29" s="15" t="inlineStr"/>
      <c r="P29" s="15" t="inlineStr"/>
      <c r="Q29" s="16" t="inlineStr">
        <is>
          <t>ch02/Route-14, ch04/§1.1</t>
        </is>
      </c>
    </row>
    <row r="30" ht="45" customHeight="1">
      <c r="A30" s="18" t="inlineStr">
        <is>
          <t>S01-T018</t>
        </is>
      </c>
      <c r="B30" s="19" t="inlineStr">
        <is>
          <t>S01 — AUTH &amp; ONBOARDING</t>
        </is>
      </c>
      <c r="C30" s="19" t="inlineStr">
        <is>
          <t>Invalid Tenant Code Login</t>
        </is>
      </c>
      <c r="D30" s="20" t="inlineStr">
        <is>
          <t>/campus/login/invalid-code-xyz</t>
        </is>
      </c>
      <c r="E30" s="19" t="inlineStr">
        <is>
          <t>Public Visitor</t>
        </is>
      </c>
      <c r="F30" s="19" t="inlineStr">
        <is>
          <t>Browser open</t>
        </is>
      </c>
      <c r="G30" s="21" t="inlineStr">
        <is>
          <t>1. Navigate to /campus/login/invalid-code-xyz</t>
        </is>
      </c>
      <c r="H30" s="21" t="inlineStr">
        <is>
          <t>Page falls back gracefully to default AIVI Campus login styling without breaking.</t>
        </is>
      </c>
      <c r="I30" s="21" t="inlineStr">
        <is>
          <t>1. confirm the URL bar shows https://aivilabs.com (production)
2. Check fallback branding logic in TenantBrandingContext</t>
        </is>
      </c>
      <c r="J30" s="18" t="inlineStr">
        <is>
          <t>P2</t>
        </is>
      </c>
      <c r="K30" s="18" t="inlineStr">
        <is>
          <t>Production</t>
        </is>
      </c>
      <c r="L30" s="18" t="inlineStr">
        <is>
          <t>Not Run</t>
        </is>
      </c>
      <c r="M30" s="19" t="inlineStr"/>
      <c r="N30" s="18" t="inlineStr"/>
      <c r="O30" s="19" t="inlineStr"/>
      <c r="P30" s="19" t="inlineStr"/>
      <c r="Q30" s="20" t="inlineStr">
        <is>
          <t>ch02/Route-14</t>
        </is>
      </c>
    </row>
    <row r="31" ht="45" customHeight="1">
      <c r="A31" s="14" t="inlineStr">
        <is>
          <t>S02-T001</t>
        </is>
      </c>
      <c r="B31" s="15" t="inlineStr">
        <is>
          <t>S02 — B2C MODULES</t>
        </is>
      </c>
      <c r="C31" s="15" t="inlineStr">
        <is>
          <t>Resume Scoring Happy Path</t>
        </is>
      </c>
      <c r="D31" s="16" t="inlineStr">
        <is>
          <t>/dashboard/resume</t>
        </is>
      </c>
      <c r="E31" s="15" t="inlineStr">
        <is>
          <t>Student 1</t>
        </is>
      </c>
      <c r="F31" s="15" t="inlineStr">
        <is>
          <t>Free plan user</t>
        </is>
      </c>
      <c r="G31" s="17" t="inlineStr">
        <is>
          <t>1. Open /dashboard/resume
2. Paste sample resume text (&gt;=50 chars)
3. Click 'Run AI Resume Scoring'</t>
        </is>
      </c>
      <c r="H31" s="17" t="inlineStr">
        <is>
          <t>Analysis runs. Screen displays overall score (0-100), Score Ring, ATS compatibility breakdown, and weak bullet suggestions.</t>
        </is>
      </c>
      <c r="I31" s="17" t="inlineStr">
        <is>
          <t>1. confirm the URL bar shows https://aivilabs.com (production)
2. Check remaining Free plan resume count</t>
        </is>
      </c>
      <c r="J31" s="14" t="inlineStr">
        <is>
          <t>P0</t>
        </is>
      </c>
      <c r="K31" s="14" t="inlineStr">
        <is>
          <t>Production</t>
        </is>
      </c>
      <c r="L31" s="14" t="inlineStr">
        <is>
          <t>Not Run</t>
        </is>
      </c>
      <c r="M31" s="15" t="inlineStr"/>
      <c r="N31" s="14" t="inlineStr"/>
      <c r="O31" s="15" t="inlineStr"/>
      <c r="P31" s="15" t="inlineStr"/>
      <c r="Q31" s="16" t="inlineStr">
        <is>
          <t>ch03/FLOW-B2C-01</t>
        </is>
      </c>
    </row>
    <row r="32" ht="45" customHeight="1">
      <c r="A32" s="18" t="inlineStr">
        <is>
          <t>S02-T002</t>
        </is>
      </c>
      <c r="B32" s="19" t="inlineStr">
        <is>
          <t>S02 — B2C MODULES</t>
        </is>
      </c>
      <c r="C32" s="19" t="inlineStr">
        <is>
          <t>Resume Short Text Error</t>
        </is>
      </c>
      <c r="D32" s="20" t="inlineStr">
        <is>
          <t>/dashboard/resume</t>
        </is>
      </c>
      <c r="E32" s="19" t="inlineStr">
        <is>
          <t>Student 1</t>
        </is>
      </c>
      <c r="F32" s="19" t="inlineStr">
        <is>
          <t>On resume page</t>
        </is>
      </c>
      <c r="G32" s="21" t="inlineStr">
        <is>
          <t>1. Paste text 'Short resume text' (&lt;50 chars)
2. Click 'Run AI Resume Scoring'</t>
        </is>
      </c>
      <c r="H32" s="21" t="inlineStr">
        <is>
          <t>Form displays verbatim error toast: 'Resume text is too short to analyze.' No API call made.</t>
        </is>
      </c>
      <c r="I32" s="21" t="inlineStr">
        <is>
          <t>1. confirm the URL bar shows https://aivilabs.com (production)
2. Check ERR-009 in ch.08</t>
        </is>
      </c>
      <c r="J32" s="18" t="inlineStr">
        <is>
          <t>P2</t>
        </is>
      </c>
      <c r="K32" s="18" t="inlineStr">
        <is>
          <t>Production</t>
        </is>
      </c>
      <c r="L32" s="18" t="inlineStr">
        <is>
          <t>Not Run</t>
        </is>
      </c>
      <c r="M32" s="19" t="inlineStr"/>
      <c r="N32" s="18" t="inlineStr"/>
      <c r="O32" s="19" t="inlineStr"/>
      <c r="P32" s="19" t="inlineStr"/>
      <c r="Q32" s="20" t="inlineStr">
        <is>
          <t>ch08/ERR-009</t>
        </is>
      </c>
    </row>
    <row r="33" ht="45" customHeight="1">
      <c r="A33" s="14" t="inlineStr">
        <is>
          <t>S02-T003</t>
        </is>
      </c>
      <c r="B33" s="15" t="inlineStr">
        <is>
          <t>S02 — B2C MODULES</t>
        </is>
      </c>
      <c r="C33" s="15" t="inlineStr">
        <is>
          <t>Resume Free Limit Hit</t>
        </is>
      </c>
      <c r="D33" s="16" t="inlineStr">
        <is>
          <t>/dashboard/resume</t>
        </is>
      </c>
      <c r="E33" s="15" t="inlineStr">
        <is>
          <t>Student 1 (Free)</t>
        </is>
      </c>
      <c r="F33" s="15" t="inlineStr">
        <is>
          <t>Executed 2 free resume analyses</t>
        </is>
      </c>
      <c r="G33" s="17" t="inlineStr">
        <is>
          <t>1. Attempt 3rd resume analysis on Free plan</t>
        </is>
      </c>
      <c r="H33" s="17" t="inlineStr">
        <is>
          <t>Backend checkUsageInline blocks call. Modal pops up displaying verbatim text: 'Free tier limit reached. Upgrade to Starter or Pro for unlimited resume scoring.'</t>
        </is>
      </c>
      <c r="I33" s="17" t="inlineStr">
        <is>
          <t>1. confirm the URL bar shows https://aivilabs.com (production)
2. Check ERR-008 in ch.08
3. Inspect user_plans lifetime_resume_count</t>
        </is>
      </c>
      <c r="J33" s="14" t="inlineStr">
        <is>
          <t>P1</t>
        </is>
      </c>
      <c r="K33" s="14" t="inlineStr">
        <is>
          <t>Production</t>
        </is>
      </c>
      <c r="L33" s="14" t="inlineStr">
        <is>
          <t>Not Run</t>
        </is>
      </c>
      <c r="M33" s="15" t="inlineStr"/>
      <c r="N33" s="14" t="inlineStr"/>
      <c r="O33" s="15" t="inlineStr"/>
      <c r="P33" s="15" t="inlineStr"/>
      <c r="Q33" s="16" t="inlineStr">
        <is>
          <t>ch03/FLOW-B2C-01, ch08/ERR-008</t>
        </is>
      </c>
    </row>
    <row r="34" ht="45" customHeight="1">
      <c r="A34" s="18" t="inlineStr">
        <is>
          <t>S02-T004</t>
        </is>
      </c>
      <c r="B34" s="19" t="inlineStr">
        <is>
          <t>S02 — B2C MODULES</t>
        </is>
      </c>
      <c r="C34" s="19" t="inlineStr">
        <is>
          <t>Job Fit Analysis Happy Path</t>
        </is>
      </c>
      <c r="D34" s="20" t="inlineStr">
        <is>
          <t>/dashboard/job-fit</t>
        </is>
      </c>
      <c r="E34" s="19" t="inlineStr">
        <is>
          <t>Student 1</t>
        </is>
      </c>
      <c r="F34" s="19" t="inlineStr">
        <is>
          <t>Free plan user</t>
        </is>
      </c>
      <c r="G34" s="21" t="inlineStr">
        <is>
          <t>1. Open /dashboard/job-fit
2. Select resume and paste target JD text
3. Click 'Analyze Job Fit'</t>
        </is>
      </c>
      <c r="H34" s="21" t="inlineStr">
        <is>
          <t>Analysis completes. Screen displays overall Match Percentage, Matched Skills, Missing Skills (Critical/Moderate/Minor), and Action Plan.</t>
        </is>
      </c>
      <c r="I34" s="21" t="inlineStr">
        <is>
          <t>1. confirm the URL bar shows https://aivilabs.com (production)
2. Check remaining Free job fit count</t>
        </is>
      </c>
      <c r="J34" s="18" t="inlineStr">
        <is>
          <t>P0</t>
        </is>
      </c>
      <c r="K34" s="18" t="inlineStr">
        <is>
          <t>Production</t>
        </is>
      </c>
      <c r="L34" s="18" t="inlineStr">
        <is>
          <t>Not Run</t>
        </is>
      </c>
      <c r="M34" s="19" t="inlineStr"/>
      <c r="N34" s="18" t="inlineStr"/>
      <c r="O34" s="19" t="inlineStr"/>
      <c r="P34" s="19" t="inlineStr"/>
      <c r="Q34" s="20" t="inlineStr">
        <is>
          <t>ch03/FLOW-B2C-02</t>
        </is>
      </c>
    </row>
    <row r="35" ht="45" customHeight="1">
      <c r="A35" s="14" t="inlineStr">
        <is>
          <t>S02-T005</t>
        </is>
      </c>
      <c r="B35" s="15" t="inlineStr">
        <is>
          <t>S02 — B2C MODULES</t>
        </is>
      </c>
      <c r="C35" s="15" t="inlineStr">
        <is>
          <t>Job Fit Missing JD Error</t>
        </is>
      </c>
      <c r="D35" s="16" t="inlineStr">
        <is>
          <t>/dashboard/job-fit</t>
        </is>
      </c>
      <c r="E35" s="15" t="inlineStr">
        <is>
          <t>Student 1</t>
        </is>
      </c>
      <c r="F35" s="15" t="inlineStr">
        <is>
          <t>On job fit page</t>
        </is>
      </c>
      <c r="G35" s="17" t="inlineStr">
        <is>
          <t>1. Select resume but leave JD field empty
2. Click 'Analyze Job Fit'</t>
        </is>
      </c>
      <c r="H35" s="17" t="inlineStr">
        <is>
          <t>Form displays verbatim error toast: 'Please provide both a resume and a job description.'</t>
        </is>
      </c>
      <c r="I35" s="17" t="inlineStr">
        <is>
          <t>1. confirm the URL bar shows https://aivilabs.com (production)
2. Check ERR-011 in ch.08</t>
        </is>
      </c>
      <c r="J35" s="14" t="inlineStr">
        <is>
          <t>P2</t>
        </is>
      </c>
      <c r="K35" s="14" t="inlineStr">
        <is>
          <t>Production</t>
        </is>
      </c>
      <c r="L35" s="14" t="inlineStr">
        <is>
          <t>Not Run</t>
        </is>
      </c>
      <c r="M35" s="15" t="inlineStr"/>
      <c r="N35" s="14" t="inlineStr"/>
      <c r="O35" s="15" t="inlineStr"/>
      <c r="P35" s="15" t="inlineStr"/>
      <c r="Q35" s="16" t="inlineStr">
        <is>
          <t>ch08/ERR-011</t>
        </is>
      </c>
    </row>
    <row r="36" ht="45" customHeight="1">
      <c r="A36" s="18" t="inlineStr">
        <is>
          <t>S02-T006</t>
        </is>
      </c>
      <c r="B36" s="19" t="inlineStr">
        <is>
          <t>S02 — B2C MODULES</t>
        </is>
      </c>
      <c r="C36" s="19" t="inlineStr">
        <is>
          <t>Skill Roadmap Generator</t>
        </is>
      </c>
      <c r="D36" s="20" t="inlineStr">
        <is>
          <t>/dashboard/roadmap</t>
        </is>
      </c>
      <c r="E36" s="19" t="inlineStr">
        <is>
          <t>Student 1</t>
        </is>
      </c>
      <c r="F36" s="19" t="inlineStr">
        <is>
          <t>Free plan user</t>
        </is>
      </c>
      <c r="G36" s="21" t="inlineStr">
        <is>
          <t>1. Open /dashboard/roadmap
2. Select target role 'Full Stack Developer'
3. Click 'Generate Roadmap'</t>
        </is>
      </c>
      <c r="H36" s="21" t="inlineStr">
        <is>
          <t>Generates 30-day, 60-day, and 90-day learning roadmap with recommended free resources and project ideas.</t>
        </is>
      </c>
      <c r="I36" s="21" t="inlineStr">
        <is>
          <t>1. confirm the URL bar shows https://aivilabs.com (production)
2. Check Free roadmap limit (1 count)</t>
        </is>
      </c>
      <c r="J36" s="18" t="inlineStr">
        <is>
          <t>P1</t>
        </is>
      </c>
      <c r="K36" s="18" t="inlineStr">
        <is>
          <t>Production</t>
        </is>
      </c>
      <c r="L36" s="18" t="inlineStr">
        <is>
          <t>Not Run</t>
        </is>
      </c>
      <c r="M36" s="19" t="inlineStr"/>
      <c r="N36" s="18" t="inlineStr"/>
      <c r="O36" s="19" t="inlineStr"/>
      <c r="P36" s="19" t="inlineStr"/>
      <c r="Q36" s="20" t="inlineStr">
        <is>
          <t>ch03/FLOW-B2C-02</t>
        </is>
      </c>
    </row>
    <row r="37" ht="45" customHeight="1">
      <c r="A37" s="14" t="inlineStr">
        <is>
          <t>S02-T007</t>
        </is>
      </c>
      <c r="B37" s="15" t="inlineStr">
        <is>
          <t>S02 — B2C MODULES</t>
        </is>
      </c>
      <c r="C37" s="15" t="inlineStr">
        <is>
          <t>Interview Prep Question Bank</t>
        </is>
      </c>
      <c r="D37" s="16" t="inlineStr">
        <is>
          <t>/dashboard/interview</t>
        </is>
      </c>
      <c r="E37" s="15" t="inlineStr">
        <is>
          <t>Student 1</t>
        </is>
      </c>
      <c r="F37" s="15" t="inlineStr">
        <is>
          <t>Free plan user</t>
        </is>
      </c>
      <c r="G37" s="17" t="inlineStr">
        <is>
          <t>1. Open /dashboard/interview
2. Select category 'Technical'
3. Click 'Generate Question Bank'</t>
        </is>
      </c>
      <c r="H37" s="17" t="inlineStr">
        <is>
          <t>Renders 5 technical questions with STAR sample answers, key points, and 'Why Asked' interviewer guidance.</t>
        </is>
      </c>
      <c r="I37" s="17" t="inlineStr">
        <is>
          <t>1. confirm the URL bar shows https://aivilabs.com (production)
2. Check SYSTEM_PROMPTS.interview in functions/src/index.ts</t>
        </is>
      </c>
      <c r="J37" s="14" t="inlineStr">
        <is>
          <t>P1</t>
        </is>
      </c>
      <c r="K37" s="14" t="inlineStr">
        <is>
          <t>Production</t>
        </is>
      </c>
      <c r="L37" s="14" t="inlineStr">
        <is>
          <t>Not Run</t>
        </is>
      </c>
      <c r="M37" s="15" t="inlineStr"/>
      <c r="N37" s="14" t="inlineStr"/>
      <c r="O37" s="15" t="inlineStr"/>
      <c r="P37" s="15" t="inlineStr"/>
      <c r="Q37" s="16" t="inlineStr">
        <is>
          <t>ch03/FLOW-B2C-02</t>
        </is>
      </c>
    </row>
    <row r="38" ht="45" customHeight="1">
      <c r="A38" s="18" t="inlineStr">
        <is>
          <t>S02-T008</t>
        </is>
      </c>
      <c r="B38" s="19" t="inlineStr">
        <is>
          <t>S02 — B2C MODULES</t>
        </is>
      </c>
      <c r="C38" s="19" t="inlineStr">
        <is>
          <t>Promotion Readiness</t>
        </is>
      </c>
      <c r="D38" s="20" t="inlineStr">
        <is>
          <t>/dashboard/promotion</t>
        </is>
      </c>
      <c r="E38" s="19" t="inlineStr">
        <is>
          <t>Student 1</t>
        </is>
      </c>
      <c r="F38" s="19" t="inlineStr">
        <is>
          <t>Free plan user</t>
        </is>
      </c>
      <c r="G38" s="21" t="inlineStr">
        <is>
          <t>1. Open /dashboard/promotion
2. Select current role 'Junior Engineer' and target role 'Senior Engineer'
3. Click 'Evaluate Readiness'</t>
        </is>
      </c>
      <c r="H38" s="21" t="inlineStr">
        <is>
          <t>Displays Readiness Score, Leadership Indicators (Present/Missing), Gap Dimensions (4-6 objects), and Action Plan.</t>
        </is>
      </c>
      <c r="I38" s="21" t="inlineStr">
        <is>
          <t>1. confirm the URL bar shows https://aivilabs.com (production)
2. Check SYSTEM_PROMPTS.promotion</t>
        </is>
      </c>
      <c r="J38" s="18" t="inlineStr">
        <is>
          <t>P2</t>
        </is>
      </c>
      <c r="K38" s="18" t="inlineStr">
        <is>
          <t>Production</t>
        </is>
      </c>
      <c r="L38" s="18" t="inlineStr">
        <is>
          <t>Not Run</t>
        </is>
      </c>
      <c r="M38" s="19" t="inlineStr"/>
      <c r="N38" s="18" t="inlineStr"/>
      <c r="O38" s="19" t="inlineStr"/>
      <c r="P38" s="19" t="inlineStr"/>
      <c r="Q38" s="20" t="inlineStr">
        <is>
          <t>ch03/FLOW-B2C-02</t>
        </is>
      </c>
    </row>
    <row r="39" ht="45" customHeight="1">
      <c r="A39" s="14" t="inlineStr">
        <is>
          <t>S02-T009</t>
        </is>
      </c>
      <c r="B39" s="15" t="inlineStr">
        <is>
          <t>S02 — B2C MODULES</t>
        </is>
      </c>
      <c r="C39" s="15" t="inlineStr">
        <is>
          <t>Portfolio Analyzer</t>
        </is>
      </c>
      <c r="D39" s="16" t="inlineStr">
        <is>
          <t>/dashboard/portfolio</t>
        </is>
      </c>
      <c r="E39" s="15" t="inlineStr">
        <is>
          <t>Student 1</t>
        </is>
      </c>
      <c r="F39" s="15" t="inlineStr">
        <is>
          <t>Free plan user</t>
        </is>
      </c>
      <c r="G39" s="17" t="inlineStr">
        <is>
          <t>1. Open /dashboard/portfolio
2. Input project details (Name, Tech Stack, Description)
3. Click 'Analyze Portfolio'</t>
        </is>
      </c>
      <c r="H39" s="17" t="inlineStr">
        <is>
          <t>Displays Technical Depth Score, Attractiveness Score, project strengths, and specific improvement suggestions.</t>
        </is>
      </c>
      <c r="I39" s="17" t="inlineStr">
        <is>
          <t>1. confirm the URL bar shows https://aivilabs.com (production)
2. Check SYSTEM_PROMPTS.portfolio</t>
        </is>
      </c>
      <c r="J39" s="14" t="inlineStr">
        <is>
          <t>P2</t>
        </is>
      </c>
      <c r="K39" s="14" t="inlineStr">
        <is>
          <t>Production</t>
        </is>
      </c>
      <c r="L39" s="14" t="inlineStr">
        <is>
          <t>Not Run</t>
        </is>
      </c>
      <c r="M39" s="15" t="inlineStr"/>
      <c r="N39" s="14" t="inlineStr"/>
      <c r="O39" s="15" t="inlineStr"/>
      <c r="P39" s="15" t="inlineStr"/>
      <c r="Q39" s="16" t="inlineStr">
        <is>
          <t>ch03/FLOW-B2C-02</t>
        </is>
      </c>
    </row>
    <row r="40" ht="45" customHeight="1">
      <c r="A40" s="18" t="inlineStr">
        <is>
          <t>S02-T010</t>
        </is>
      </c>
      <c r="B40" s="19" t="inlineStr">
        <is>
          <t>S02 — B2C MODULES</t>
        </is>
      </c>
      <c r="C40" s="19" t="inlineStr">
        <is>
          <t>LinkedIn Profile Analyzer</t>
        </is>
      </c>
      <c r="D40" s="20" t="inlineStr">
        <is>
          <t>/dashboard/linkedin</t>
        </is>
      </c>
      <c r="E40" s="19" t="inlineStr">
        <is>
          <t>Student 1</t>
        </is>
      </c>
      <c r="F40" s="19" t="inlineStr">
        <is>
          <t>Free plan user</t>
        </is>
      </c>
      <c r="G40" s="21" t="inlineStr">
        <is>
          <t>1. Open /dashboard/linkedin
2. Paste raw LinkedIn profile text
3. Click 'Analyze Profile'</t>
        </is>
      </c>
      <c r="H40" s="21" t="inlineStr">
        <is>
          <t>Displays LinkedIn SSI Score Prediction, Recruiter Search Visibility rating, Headline Strength, and positioning analysis.</t>
        </is>
      </c>
      <c r="I40" s="21" t="inlineStr">
        <is>
          <t>1. confirm the URL bar shows https://aivilabs.com (production)
2. Check parseLinkedInText helper function in index.ts</t>
        </is>
      </c>
      <c r="J40" s="18" t="inlineStr">
        <is>
          <t>P1</t>
        </is>
      </c>
      <c r="K40" s="18" t="inlineStr">
        <is>
          <t>Production</t>
        </is>
      </c>
      <c r="L40" s="18" t="inlineStr">
        <is>
          <t>Not Run</t>
        </is>
      </c>
      <c r="M40" s="19" t="inlineStr"/>
      <c r="N40" s="18" t="inlineStr"/>
      <c r="O40" s="19" t="inlineStr"/>
      <c r="P40" s="19" t="inlineStr"/>
      <c r="Q40" s="20" t="inlineStr">
        <is>
          <t>ch03/FLOW-B2C-03</t>
        </is>
      </c>
    </row>
    <row r="41" ht="45" customHeight="1">
      <c r="A41" s="14" t="inlineStr">
        <is>
          <t>S02-T011</t>
        </is>
      </c>
      <c r="B41" s="15" t="inlineStr">
        <is>
          <t>S02 — B2C MODULES</t>
        </is>
      </c>
      <c r="C41" s="15" t="inlineStr">
        <is>
          <t>LinkedIn Optimizer Free Block</t>
        </is>
      </c>
      <c r="D41" s="16" t="inlineStr">
        <is>
          <t>/dashboard/linkedin</t>
        </is>
      </c>
      <c r="E41" s="15" t="inlineStr">
        <is>
          <t>Student 1 (Free)</t>
        </is>
      </c>
      <c r="F41" s="15" t="inlineStr">
        <is>
          <t>Free plan user</t>
        </is>
      </c>
      <c r="G41" s="17" t="inlineStr">
        <is>
          <t>1. On /dashboard/linkedin, click 'Rewrite &amp; Optimize Profile' tab</t>
        </is>
      </c>
      <c r="H41" s="17" t="inlineStr">
        <is>
          <t>Backend checkUsageInline blocks call. Returns verbatim error: 'The linkedin optimize feature is only available on Starter or Pro plans.' Pops up UpgradeModal.</t>
        </is>
      </c>
      <c r="I41" s="17" t="inlineStr">
        <is>
          <t>1. confirm the URL bar shows https://aivilabs.com (production)
2. Check ERR-012 in ch.08
3. Verify UpgradeModal opens</t>
        </is>
      </c>
      <c r="J41" s="14" t="inlineStr">
        <is>
          <t>P1</t>
        </is>
      </c>
      <c r="K41" s="14" t="inlineStr">
        <is>
          <t>Production</t>
        </is>
      </c>
      <c r="L41" s="14" t="inlineStr">
        <is>
          <t>Not Run</t>
        </is>
      </c>
      <c r="M41" s="15" t="inlineStr"/>
      <c r="N41" s="14" t="inlineStr"/>
      <c r="O41" s="15" t="inlineStr"/>
      <c r="P41" s="15" t="inlineStr"/>
      <c r="Q41" s="16" t="inlineStr">
        <is>
          <t>ch03/FLOW-B2C-03, ch08/ERR-012</t>
        </is>
      </c>
    </row>
    <row r="42" ht="45" customHeight="1">
      <c r="A42" s="18" t="inlineStr">
        <is>
          <t>S02-T012</t>
        </is>
      </c>
      <c r="B42" s="19" t="inlineStr">
        <is>
          <t>S02 — B2C MODULES</t>
        </is>
      </c>
      <c r="C42" s="19" t="inlineStr">
        <is>
          <t>LinkedIn Optimizer Paid Tier</t>
        </is>
      </c>
      <c r="D42" s="20" t="inlineStr">
        <is>
          <t>/dashboard/linkedin</t>
        </is>
      </c>
      <c r="E42" s="19" t="inlineStr">
        <is>
          <t>Starter/Pro User</t>
        </is>
      </c>
      <c r="F42" s="19" t="inlineStr">
        <is>
          <t>Paid plan user</t>
        </is>
      </c>
      <c r="G42" s="21" t="inlineStr">
        <is>
          <t>1. Log in as Starter/Pro user
2. Open /dashboard/linkedin
3. Click 'Optimize Profile'</t>
        </is>
      </c>
      <c r="H42" s="21" t="inlineStr">
        <is>
          <t>Generates Executive Headline, 3-4 paragraph About section rewrite, quantified experience bullets, and networking hook.</t>
        </is>
      </c>
      <c r="I42" s="21" t="inlineStr">
        <is>
          <t>1. confirm the URL bar shows https://aivilabs.com (production)
2. Verify planType in user_plans is starter or pro</t>
        </is>
      </c>
      <c r="J42" s="18" t="inlineStr">
        <is>
          <t>P1</t>
        </is>
      </c>
      <c r="K42" s="18" t="inlineStr">
        <is>
          <t>Production</t>
        </is>
      </c>
      <c r="L42" s="18" t="inlineStr">
        <is>
          <t>Not Run</t>
        </is>
      </c>
      <c r="M42" s="19" t="inlineStr"/>
      <c r="N42" s="18" t="inlineStr"/>
      <c r="O42" s="19" t="inlineStr"/>
      <c r="P42" s="19" t="inlineStr"/>
      <c r="Q42" s="20" t="inlineStr">
        <is>
          <t>ch03/FLOW-B2C-03</t>
        </is>
      </c>
    </row>
    <row r="43" ht="45" customHeight="1">
      <c r="A43" s="14" t="inlineStr">
        <is>
          <t>S02-T013</t>
        </is>
      </c>
      <c r="B43" s="15" t="inlineStr">
        <is>
          <t>S02 — B2C MODULES</t>
        </is>
      </c>
      <c r="C43" s="15" t="inlineStr">
        <is>
          <t>Resume Builder Editor</t>
        </is>
      </c>
      <c r="D43" s="16" t="inlineStr">
        <is>
          <t>/dashboard/builder</t>
        </is>
      </c>
      <c r="E43" s="15" t="inlineStr">
        <is>
          <t>Starter/Pro User</t>
        </is>
      </c>
      <c r="F43" s="15" t="inlineStr">
        <is>
          <t>Paid plan user</t>
        </is>
      </c>
      <c r="G43" s="17" t="inlineStr">
        <is>
          <t>1. Open /dashboard/builder
2. Fill in contact details, work experience, education
3. Click 'Auto-Fill AI Rewrite'</t>
        </is>
      </c>
      <c r="H43" s="17" t="inlineStr">
        <is>
          <t>AI rewrites bullet points into ATS-optimized action verb phrases. User can preview and export clean PDF.</t>
        </is>
      </c>
      <c r="I43" s="17" t="inlineStr">
        <is>
          <t>1. confirm the URL bar shows https://aivilabs.com (production)
2. Check resumeExport.ts utility</t>
        </is>
      </c>
      <c r="J43" s="14" t="inlineStr">
        <is>
          <t>P1</t>
        </is>
      </c>
      <c r="K43" s="14" t="inlineStr">
        <is>
          <t>Production</t>
        </is>
      </c>
      <c r="L43" s="14" t="inlineStr">
        <is>
          <t>Not Run</t>
        </is>
      </c>
      <c r="M43" s="15" t="inlineStr"/>
      <c r="N43" s="14" t="inlineStr"/>
      <c r="O43" s="15" t="inlineStr"/>
      <c r="P43" s="15" t="inlineStr"/>
      <c r="Q43" s="16" t="inlineStr">
        <is>
          <t>ch02/Route-32</t>
        </is>
      </c>
    </row>
    <row r="44" ht="45" customHeight="1">
      <c r="A44" s="18" t="inlineStr">
        <is>
          <t>S02-T014</t>
        </is>
      </c>
      <c r="B44" s="19" t="inlineStr">
        <is>
          <t>S02 — B2C MODULES</t>
        </is>
      </c>
      <c r="C44" s="19" t="inlineStr">
        <is>
          <t>Resume Builder PDF Export</t>
        </is>
      </c>
      <c r="D44" s="20" t="inlineStr">
        <is>
          <t>/dashboard/builder</t>
        </is>
      </c>
      <c r="E44" s="19" t="inlineStr">
        <is>
          <t>Starter/Pro User</t>
        </is>
      </c>
      <c r="F44" s="19" t="inlineStr">
        <is>
          <t>Resume builder filled</t>
        </is>
      </c>
      <c r="G44" s="21" t="inlineStr">
        <is>
          <t>1. In /dashboard/builder, click 'Export PDF'</t>
        </is>
      </c>
      <c r="H44" s="21" t="inlineStr">
        <is>
          <t>Triggers client PDF generation via jsPDF. Downloads clean ATS-friendly resume PDF file.</t>
        </is>
      </c>
      <c r="I44" s="21" t="inlineStr">
        <is>
          <t>1. confirm the URL bar shows https://aivilabs.com (production)
2. Verify jsPDF download trigger</t>
        </is>
      </c>
      <c r="J44" s="18" t="inlineStr">
        <is>
          <t>P2</t>
        </is>
      </c>
      <c r="K44" s="18" t="inlineStr">
        <is>
          <t>Production</t>
        </is>
      </c>
      <c r="L44" s="18" t="inlineStr">
        <is>
          <t>Not Run</t>
        </is>
      </c>
      <c r="M44" s="19" t="inlineStr"/>
      <c r="N44" s="18" t="inlineStr"/>
      <c r="O44" s="19" t="inlineStr"/>
      <c r="P44" s="19" t="inlineStr"/>
      <c r="Q44" s="20" t="inlineStr">
        <is>
          <t>ch02/Route-32</t>
        </is>
      </c>
    </row>
    <row r="45" ht="45" customHeight="1">
      <c r="A45" s="14" t="inlineStr">
        <is>
          <t>S02-T015</t>
        </is>
      </c>
      <c r="B45" s="15" t="inlineStr">
        <is>
          <t>S02 — B2C MODULES</t>
        </is>
      </c>
      <c r="C45" s="15" t="inlineStr">
        <is>
          <t>Analysis History Rendering</t>
        </is>
      </c>
      <c r="D45" s="16" t="inlineStr">
        <is>
          <t>/dashboard</t>
        </is>
      </c>
      <c r="E45" s="15" t="inlineStr">
        <is>
          <t>Student 1</t>
        </is>
      </c>
      <c r="F45" s="15" t="inlineStr">
        <is>
          <t>Has past analyses</t>
        </is>
      </c>
      <c r="G45" s="17" t="inlineStr">
        <is>
          <t>1. Open /dashboard
2. View 'Recent Analysis History' section</t>
        </is>
      </c>
      <c r="H45" s="17" t="inlineStr">
        <is>
          <t>Displays history cards showing past analysis type, date, overall score, and 'View Breakdown' link.</t>
        </is>
      </c>
      <c r="I45" s="17" t="inlineStr">
        <is>
          <t>1. confirm the URL bar shows https://aivilabs.com (production)
2. Check AnalysisHistoryCards component</t>
        </is>
      </c>
      <c r="J45" s="14" t="inlineStr">
        <is>
          <t>P2</t>
        </is>
      </c>
      <c r="K45" s="14" t="inlineStr">
        <is>
          <t>Production</t>
        </is>
      </c>
      <c r="L45" s="14" t="inlineStr">
        <is>
          <t>Not Run</t>
        </is>
      </c>
      <c r="M45" s="15" t="inlineStr"/>
      <c r="N45" s="14" t="inlineStr"/>
      <c r="O45" s="15" t="inlineStr"/>
      <c r="P45" s="15" t="inlineStr"/>
      <c r="Q45" s="16" t="inlineStr">
        <is>
          <t>ch01/§5</t>
        </is>
      </c>
    </row>
    <row r="46" ht="45" customHeight="1">
      <c r="A46" s="18" t="inlineStr">
        <is>
          <t>S02-T016</t>
        </is>
      </c>
      <c r="B46" s="19" t="inlineStr">
        <is>
          <t>S02 — B2C MODULES</t>
        </is>
      </c>
      <c r="C46" s="19" t="inlineStr">
        <is>
          <t>Plan Usage Banner</t>
        </is>
      </c>
      <c r="D46" s="20" t="inlineStr">
        <is>
          <t>/dashboard</t>
        </is>
      </c>
      <c r="E46" s="19" t="inlineStr">
        <is>
          <t>Free User</t>
        </is>
      </c>
      <c r="F46" s="19" t="inlineStr">
        <is>
          <t>Free plan user</t>
        </is>
      </c>
      <c r="G46" s="21" t="inlineStr">
        <is>
          <t>1. Log in as Free user
2. Observe top warning banner on dashboard</t>
        </is>
      </c>
      <c r="H46" s="21" t="inlineStr">
        <is>
          <t>Banner displays: 'Free Plan: 2 Resume &amp; Job Fit analyses remaining. Upgrade for unlimited access.' with 'Upgrade' button.</t>
        </is>
      </c>
      <c r="I46" s="21" t="inlineStr">
        <is>
          <t>1. confirm the URL bar shows https://aivilabs.com (production)
2. Check PlanUsageBanner component</t>
        </is>
      </c>
      <c r="J46" s="18" t="inlineStr">
        <is>
          <t>P2</t>
        </is>
      </c>
      <c r="K46" s="18" t="inlineStr">
        <is>
          <t>Production</t>
        </is>
      </c>
      <c r="L46" s="18" t="inlineStr">
        <is>
          <t>Not Run</t>
        </is>
      </c>
      <c r="M46" s="19" t="inlineStr"/>
      <c r="N46" s="18" t="inlineStr"/>
      <c r="O46" s="19" t="inlineStr"/>
      <c r="P46" s="19" t="inlineStr"/>
      <c r="Q46" s="20" t="inlineStr">
        <is>
          <t>ch01/§5</t>
        </is>
      </c>
    </row>
    <row r="47" ht="45" customHeight="1">
      <c r="A47" s="14" t="inlineStr">
        <is>
          <t>S02-T017</t>
        </is>
      </c>
      <c r="B47" s="15" t="inlineStr">
        <is>
          <t>S02 — B2C MODULES</t>
        </is>
      </c>
      <c r="C47" s="15" t="inlineStr">
        <is>
          <t>AI Rate Limit Trigger</t>
        </is>
      </c>
      <c r="D47" s="16" t="inlineStr">
        <is>
          <t>/dashboard/resume</t>
        </is>
      </c>
      <c r="E47" s="15" t="inlineStr">
        <is>
          <t>Student 1</t>
        </is>
      </c>
      <c r="F47" s="15" t="inlineStr">
        <is>
          <t>On resume page</t>
        </is>
      </c>
      <c r="G47" s="17" t="inlineStr">
        <is>
          <t>1. Click 'Run AI Resume Scoring' 4 times rapidly within 30 seconds</t>
        </is>
      </c>
      <c r="H47" s="17" t="inlineStr">
        <is>
          <t>4th call is blocked by rate limiter. Displays verbatim error toast: 'Rate limit exceeded. Try again in a minute.'</t>
        </is>
      </c>
      <c r="I47" s="17" t="inlineStr">
        <is>
          <t>1. confirm the URL bar shows https://aivilabs.com (production)
2. Check ERR-013 in ch.08
3. Inspect ai_rate_limits collection</t>
        </is>
      </c>
      <c r="J47" s="14" t="inlineStr">
        <is>
          <t>P1</t>
        </is>
      </c>
      <c r="K47" s="14" t="inlineStr">
        <is>
          <t>Production</t>
        </is>
      </c>
      <c r="L47" s="14" t="inlineStr">
        <is>
          <t>Not Run</t>
        </is>
      </c>
      <c r="M47" s="15" t="inlineStr"/>
      <c r="N47" s="14" t="inlineStr"/>
      <c r="O47" s="15" t="inlineStr"/>
      <c r="P47" s="15" t="inlineStr"/>
      <c r="Q47" s="16" t="inlineStr">
        <is>
          <t>ch08/ERR-013</t>
        </is>
      </c>
    </row>
    <row r="48" ht="45" customHeight="1">
      <c r="A48" s="18" t="inlineStr">
        <is>
          <t>S02-T018</t>
        </is>
      </c>
      <c r="B48" s="19" t="inlineStr">
        <is>
          <t>S02 — B2C MODULES</t>
        </is>
      </c>
      <c r="C48" s="19" t="inlineStr">
        <is>
          <t>AI Service Error Fallback</t>
        </is>
      </c>
      <c r="D48" s="20" t="inlineStr">
        <is>
          <t>/dashboard/resume</t>
        </is>
      </c>
      <c r="E48" s="19" t="inlineStr">
        <is>
          <t>Student 1</t>
        </is>
      </c>
      <c r="F48" s="19" t="inlineStr">
        <is>
          <t>Simulated backend error</t>
        </is>
      </c>
      <c r="G48" s="21" t="inlineStr">
        <is>
          <t>1. Trigger AI call during service outage or simulated invalid API key</t>
        </is>
      </c>
      <c r="H48" s="21" t="inlineStr">
        <is>
          <t>Backend catches exception. Displays verbatim error toast: 'AI service is temporarily unavailable. Please try again.'</t>
        </is>
      </c>
      <c r="I48" s="21" t="inlineStr">
        <is>
          <t>1. confirm the URL bar shows https://aivilabs.com (production)
2. Check ERR-010 in ch.08 (Organic/backend fallback)</t>
        </is>
      </c>
      <c r="J48" s="18" t="inlineStr">
        <is>
          <t>P2</t>
        </is>
      </c>
      <c r="K48" s="18" t="inlineStr">
        <is>
          <t>Production</t>
        </is>
      </c>
      <c r="L48" s="18" t="inlineStr">
        <is>
          <t>Not Run</t>
        </is>
      </c>
      <c r="M48" s="19" t="inlineStr"/>
      <c r="N48" s="18" t="inlineStr"/>
      <c r="O48" s="19" t="inlineStr"/>
      <c r="P48" s="19" t="inlineStr"/>
      <c r="Q48" s="20" t="inlineStr">
        <is>
          <t>ch08/ERR-010</t>
        </is>
      </c>
    </row>
    <row r="49" ht="45" customHeight="1">
      <c r="A49" s="14" t="inlineStr">
        <is>
          <t>S02-T019</t>
        </is>
      </c>
      <c r="B49" s="15" t="inlineStr">
        <is>
          <t>S02 — B2C MODULES</t>
        </is>
      </c>
      <c r="C49" s="15" t="inlineStr">
        <is>
          <t>SEO Freshers Page</t>
        </is>
      </c>
      <c r="D49" s="16" t="inlineStr">
        <is>
          <t>/ai-resume-builder-for-freshers</t>
        </is>
      </c>
      <c r="E49" s="15" t="inlineStr">
        <is>
          <t>Public Visitor</t>
        </is>
      </c>
      <c r="F49" s="15" t="inlineStr">
        <is>
          <t>Browser open</t>
        </is>
      </c>
      <c r="G49" s="17" t="inlineStr">
        <is>
          <t>1. Navigate to /ai-resume-builder-for-freshers</t>
        </is>
      </c>
      <c r="H49" s="17" t="inlineStr">
        <is>
          <t>Page renders fresher-specific resume guide, ATS tips, sample templates, and 'Build Fresher Resume' CTA.</t>
        </is>
      </c>
      <c r="I49" s="17" t="inlineStr">
        <is>
          <t>1. confirm the URL bar shows https://aivilabs.com (production)
2. Check SEO pages in App.tsx</t>
        </is>
      </c>
      <c r="J49" s="14" t="inlineStr">
        <is>
          <t>P3</t>
        </is>
      </c>
      <c r="K49" s="14" t="inlineStr">
        <is>
          <t>Production</t>
        </is>
      </c>
      <c r="L49" s="14" t="inlineStr">
        <is>
          <t>Not Run</t>
        </is>
      </c>
      <c r="M49" s="15" t="inlineStr"/>
      <c r="N49" s="14" t="inlineStr"/>
      <c r="O49" s="15" t="inlineStr"/>
      <c r="P49" s="15" t="inlineStr"/>
      <c r="Q49" s="16" t="inlineStr">
        <is>
          <t>ch02/Route-15</t>
        </is>
      </c>
    </row>
    <row r="50" ht="45" customHeight="1">
      <c r="A50" s="18" t="inlineStr">
        <is>
          <t>S02-T020</t>
        </is>
      </c>
      <c r="B50" s="19" t="inlineStr">
        <is>
          <t>S02 — B2C MODULES</t>
        </is>
      </c>
      <c r="C50" s="19" t="inlineStr">
        <is>
          <t>SEO Scoring Software Page</t>
        </is>
      </c>
      <c r="D50" s="20" t="inlineStr">
        <is>
          <t>/resume-scoring-software</t>
        </is>
      </c>
      <c r="E50" s="19" t="inlineStr">
        <is>
          <t>Public Visitor</t>
        </is>
      </c>
      <c r="F50" s="19" t="inlineStr">
        <is>
          <t>Browser open</t>
        </is>
      </c>
      <c r="G50" s="21" t="inlineStr">
        <is>
          <t>1. Navigate to /resume-scoring-software</t>
        </is>
      </c>
      <c r="H50" s="21" t="inlineStr">
        <is>
          <t>Page renders ATS scoring software comparison table, metric breakdown, and 'Score My Resume' CTA.</t>
        </is>
      </c>
      <c r="I50" s="21" t="inlineStr">
        <is>
          <t>1. confirm the URL bar shows https://aivilabs.com (production)
2. Check SEO pages in App.tsx</t>
        </is>
      </c>
      <c r="J50" s="18" t="inlineStr">
        <is>
          <t>P3</t>
        </is>
      </c>
      <c r="K50" s="18" t="inlineStr">
        <is>
          <t>Production</t>
        </is>
      </c>
      <c r="L50" s="18" t="inlineStr">
        <is>
          <t>Not Run</t>
        </is>
      </c>
      <c r="M50" s="19" t="inlineStr"/>
      <c r="N50" s="18" t="inlineStr"/>
      <c r="O50" s="19" t="inlineStr"/>
      <c r="P50" s="19" t="inlineStr"/>
      <c r="Q50" s="20" t="inlineStr">
        <is>
          <t>ch02/Route-16</t>
        </is>
      </c>
    </row>
    <row r="51" ht="45" customHeight="1">
      <c r="A51" s="14" t="inlineStr">
        <is>
          <t>S02-T021</t>
        </is>
      </c>
      <c r="B51" s="15" t="inlineStr">
        <is>
          <t>S02 — B2C MODULES</t>
        </is>
      </c>
      <c r="C51" s="15" t="inlineStr">
        <is>
          <t>SEO Job Fit Tool Page</t>
        </is>
      </c>
      <c r="D51" s="16" t="inlineStr">
        <is>
          <t>/job-fit-analysis-tool</t>
        </is>
      </c>
      <c r="E51" s="15" t="inlineStr">
        <is>
          <t>Public Visitor</t>
        </is>
      </c>
      <c r="F51" s="15" t="inlineStr">
        <is>
          <t>Browser open</t>
        </is>
      </c>
      <c r="G51" s="17" t="inlineStr">
        <is>
          <t>1. Navigate to /job-fit-analysis-tool</t>
        </is>
      </c>
      <c r="H51" s="17" t="inlineStr">
        <is>
          <t>Page renders Job Fit analysis tool overview, match methodology, and 'Test Job Match' CTA.</t>
        </is>
      </c>
      <c r="I51" s="17" t="inlineStr">
        <is>
          <t>1. confirm the URL bar shows https://aivilabs.com (production)
2. Check SEO pages in App.tsx</t>
        </is>
      </c>
      <c r="J51" s="14" t="inlineStr">
        <is>
          <t>P3</t>
        </is>
      </c>
      <c r="K51" s="14" t="inlineStr">
        <is>
          <t>Production</t>
        </is>
      </c>
      <c r="L51" s="14" t="inlineStr">
        <is>
          <t>Not Run</t>
        </is>
      </c>
      <c r="M51" s="15" t="inlineStr"/>
      <c r="N51" s="14" t="inlineStr"/>
      <c r="O51" s="15" t="inlineStr"/>
      <c r="P51" s="15" t="inlineStr"/>
      <c r="Q51" s="16" t="inlineStr">
        <is>
          <t>ch02/Route-17</t>
        </is>
      </c>
    </row>
    <row r="52" ht="45" customHeight="1">
      <c r="A52" s="18" t="inlineStr">
        <is>
          <t>S02-T022</t>
        </is>
      </c>
      <c r="B52" s="19" t="inlineStr">
        <is>
          <t>S02 — B2C MODULES</t>
        </is>
      </c>
      <c r="C52" s="19" t="inlineStr">
        <is>
          <t>SEO Career Gap Page</t>
        </is>
      </c>
      <c r="D52" s="20" t="inlineStr">
        <is>
          <t>/career-gap-analysis-ai</t>
        </is>
      </c>
      <c r="E52" s="19" t="inlineStr">
        <is>
          <t>Public Visitor</t>
        </is>
      </c>
      <c r="F52" s="19" t="inlineStr">
        <is>
          <t>Browser open</t>
        </is>
      </c>
      <c r="G52" s="21" t="inlineStr">
        <is>
          <t>1. Navigate to /career-gap-analysis-ai</t>
        </is>
      </c>
      <c r="H52" s="21" t="inlineStr">
        <is>
          <t>Page renders Career Gap explanation guide, AI mitigation strategies, and 'Analyze Career Gaps' CTA.</t>
        </is>
      </c>
      <c r="I52" s="21" t="inlineStr">
        <is>
          <t>1. confirm the URL bar shows https://aivilabs.com (production)
2. Check SEO pages in App.tsx</t>
        </is>
      </c>
      <c r="J52" s="18" t="inlineStr">
        <is>
          <t>P3</t>
        </is>
      </c>
      <c r="K52" s="18" t="inlineStr">
        <is>
          <t>Production</t>
        </is>
      </c>
      <c r="L52" s="18" t="inlineStr">
        <is>
          <t>Not Run</t>
        </is>
      </c>
      <c r="M52" s="19" t="inlineStr"/>
      <c r="N52" s="18" t="inlineStr"/>
      <c r="O52" s="19" t="inlineStr"/>
      <c r="P52" s="19" t="inlineStr"/>
      <c r="Q52" s="20" t="inlineStr">
        <is>
          <t>ch02/Route-18</t>
        </is>
      </c>
    </row>
    <row r="53" ht="45" customHeight="1">
      <c r="A53" s="14" t="inlineStr">
        <is>
          <t>S02-T023</t>
        </is>
      </c>
      <c r="B53" s="15" t="inlineStr">
        <is>
          <t>S02 — B2C MODULES</t>
        </is>
      </c>
      <c r="C53" s="15" t="inlineStr">
        <is>
          <t>SEO LLM Comparison Page</t>
        </is>
      </c>
      <c r="D53" s="16" t="inlineStr">
        <is>
          <t>/ai-vs-chatgpt-vs-gemini</t>
        </is>
      </c>
      <c r="E53" s="15" t="inlineStr">
        <is>
          <t>Public Visitor</t>
        </is>
      </c>
      <c r="F53" s="15" t="inlineStr">
        <is>
          <t>Browser open</t>
        </is>
      </c>
      <c r="G53" s="17" t="inlineStr">
        <is>
          <t>1. Navigate to /ai-vs-chatgpt-vs-gemini</t>
        </is>
      </c>
      <c r="H53" s="17" t="inlineStr">
        <is>
          <t>Page renders LLM benchmark comparison (AIVI vs ChatGPT vs Gemini), prompt optimization metrics, and CTA.</t>
        </is>
      </c>
      <c r="I53" s="17" t="inlineStr">
        <is>
          <t>1. confirm the URL bar shows https://aivilabs.com (production)
2. Check SEO pages in App.tsx</t>
        </is>
      </c>
      <c r="J53" s="14" t="inlineStr">
        <is>
          <t>P3</t>
        </is>
      </c>
      <c r="K53" s="14" t="inlineStr">
        <is>
          <t>Production</t>
        </is>
      </c>
      <c r="L53" s="14" t="inlineStr">
        <is>
          <t>Not Run</t>
        </is>
      </c>
      <c r="M53" s="15" t="inlineStr"/>
      <c r="N53" s="14" t="inlineStr"/>
      <c r="O53" s="15" t="inlineStr"/>
      <c r="P53" s="15" t="inlineStr"/>
      <c r="Q53" s="16" t="inlineStr">
        <is>
          <t>ch02/Route-19</t>
        </is>
      </c>
    </row>
    <row r="54" ht="45" customHeight="1">
      <c r="A54" s="18" t="inlineStr">
        <is>
          <t>S03-T001</t>
        </is>
      </c>
      <c r="B54" s="19" t="inlineStr">
        <is>
          <t>S03 — PAYMENTS LIVE-MODE</t>
        </is>
      </c>
      <c r="C54" s="19" t="inlineStr">
        <is>
          <t>Upgrade Modal Open</t>
        </is>
      </c>
      <c r="D54" s="20" t="inlineStr">
        <is>
          <t>/dashboard</t>
        </is>
      </c>
      <c r="E54" s="19" t="inlineStr">
        <is>
          <t>Free User</t>
        </is>
      </c>
      <c r="F54" s="19" t="inlineStr">
        <is>
          <t>Logged in as Free user</t>
        </is>
      </c>
      <c r="G54" s="21" t="inlineStr">
        <is>
          <t>1. Click 'Upgrade' button on header or PlanUsageBanner</t>
        </is>
      </c>
      <c r="H54" s="21" t="inlineStr">
        <is>
          <t>Upgrade Modal opens displaying plan comparison table: Starter (₹399/mo) and Pro (₹599/mo) with features list.</t>
        </is>
      </c>
      <c r="I54" s="21" t="inlineStr">
        <is>
          <t>1. confirm the URL bar shows https://aivilabs.com (production)
2. Check UpgradeModal component</t>
        </is>
      </c>
      <c r="J54" s="18" t="inlineStr">
        <is>
          <t>P1</t>
        </is>
      </c>
      <c r="K54" s="18" t="inlineStr">
        <is>
          <t>Production</t>
        </is>
      </c>
      <c r="L54" s="18" t="inlineStr">
        <is>
          <t>Not Run</t>
        </is>
      </c>
      <c r="M54" s="19" t="inlineStr"/>
      <c r="N54" s="18" t="inlineStr"/>
      <c r="O54" s="19" t="inlineStr"/>
      <c r="P54" s="19" t="inlineStr"/>
      <c r="Q54" s="20" t="inlineStr">
        <is>
          <t>ch03/FLOW-PAY-01</t>
        </is>
      </c>
    </row>
    <row r="55" ht="45" customHeight="1">
      <c r="A55" s="14" t="inlineStr">
        <is>
          <t>S03-T002</t>
        </is>
      </c>
      <c r="B55" s="15" t="inlineStr">
        <is>
          <t>S03 — PAYMENTS LIVE-MODE</t>
        </is>
      </c>
      <c r="C55" s="15" t="inlineStr">
        <is>
          <t>Create Payment Order</t>
        </is>
      </c>
      <c r="D55" s="16" t="inlineStr">
        <is>
          <t>/dashboard</t>
        </is>
      </c>
      <c r="E55" s="15" t="inlineStr">
        <is>
          <t>Free User</t>
        </is>
      </c>
      <c r="F55" s="15" t="inlineStr">
        <is>
          <t>FOUNDER ONLY — Live Gateway</t>
        </is>
      </c>
      <c r="G55" s="17" t="inlineStr">
        <is>
          <t>1. Select 'Starter Plan (₹399/mo)'
2. Click 'Proceed to Payment'</t>
        </is>
      </c>
      <c r="H55" s="17" t="inlineStr">
        <is>
          <t>FOUNDER-ONLY — live payment verification (real ₹399 Starter purchase + Razorpay dashboard refund); interns must not run payment tests</t>
        </is>
      </c>
      <c r="I55" s="17" t="inlineStr">
        <is>
          <t>1. confirm the URL bar shows https://aivilabs.com (production)
2. FOUNDER ONLY live mode</t>
        </is>
      </c>
      <c r="J55" s="14" t="inlineStr">
        <is>
          <t>P0</t>
        </is>
      </c>
      <c r="K55" s="14" t="inlineStr">
        <is>
          <t>Production</t>
        </is>
      </c>
      <c r="L55" s="14" t="inlineStr">
        <is>
          <t>Not Run</t>
        </is>
      </c>
      <c r="M55" s="15" t="inlineStr"/>
      <c r="N55" s="14" t="inlineStr"/>
      <c r="O55" s="15" t="inlineStr"/>
      <c r="P55" s="15" t="inlineStr"/>
      <c r="Q55" s="16" t="inlineStr">
        <is>
          <t>ch03/FLOW-PAY-01, ch07/§2</t>
        </is>
      </c>
    </row>
    <row r="56" ht="45" customHeight="1">
      <c r="A56" s="18" t="inlineStr">
        <is>
          <t>S03-T003</t>
        </is>
      </c>
      <c r="B56" s="19" t="inlineStr">
        <is>
          <t>S03 — PAYMENTS LIVE-MODE</t>
        </is>
      </c>
      <c r="C56" s="19" t="inlineStr">
        <is>
          <t>Razorpay Live Payment Execution</t>
        </is>
      </c>
      <c r="D56" s="20" t="inlineStr">
        <is>
          <t>/dashboard</t>
        </is>
      </c>
      <c r="E56" s="19" t="inlineStr">
        <is>
          <t>Free User</t>
        </is>
      </c>
      <c r="F56" s="19" t="inlineStr">
        <is>
          <t>FOUNDER ONLY — Live Gateway</t>
        </is>
      </c>
      <c r="G56" s="21" t="inlineStr">
        <is>
          <t>1. FOUNDER-ONLY verification on LIVE mode.
2. Open Upgrade modal -&gt; Select Starter Plan (₹399/mo)
3. Execute live transaction with real payment method
4. Verify upgrade to Starter plan, then issue immediate refund via Razorpay dashboard.</t>
        </is>
      </c>
      <c r="H56" s="21" t="inlineStr">
        <is>
          <t>FOUNDER-ONLY — live payment verification (real ₹399 Starter purchase + Razorpay dashboard refund); interns must not run payment tests</t>
        </is>
      </c>
      <c r="I56" s="21" t="inlineStr">
        <is>
          <t>1. confirm the URL bar shows https://aivilabs.com (production)
2. Verify Razorpay LIVE keys in production env
3. Check user_plans doc in Firestore</t>
        </is>
      </c>
      <c r="J56" s="18" t="inlineStr">
        <is>
          <t>P0</t>
        </is>
      </c>
      <c r="K56" s="18" t="inlineStr">
        <is>
          <t>Production</t>
        </is>
      </c>
      <c r="L56" s="18" t="inlineStr">
        <is>
          <t>Not Run</t>
        </is>
      </c>
      <c r="M56" s="19" t="inlineStr"/>
      <c r="N56" s="18" t="inlineStr"/>
      <c r="O56" s="19" t="inlineStr"/>
      <c r="P56" s="19" t="inlineStr"/>
      <c r="Q56" s="20" t="inlineStr">
        <is>
          <t>ch03/FLOW-PAY-01, ch07/§3</t>
        </is>
      </c>
    </row>
    <row r="57" ht="45" customHeight="1">
      <c r="A57" s="14" t="inlineStr">
        <is>
          <t>S03-T004</t>
        </is>
      </c>
      <c r="B57" s="15" t="inlineStr">
        <is>
          <t>S03 — PAYMENTS LIVE-MODE</t>
        </is>
      </c>
      <c r="C57" s="15" t="inlineStr">
        <is>
          <t>Payment Cancellation</t>
        </is>
      </c>
      <c r="D57" s="16" t="inlineStr">
        <is>
          <t>/dashboard</t>
        </is>
      </c>
      <c r="E57" s="15" t="inlineStr">
        <is>
          <t>Free User</t>
        </is>
      </c>
      <c r="F57" s="15" t="inlineStr">
        <is>
          <t>FOUNDER ONLY — Live Gateway</t>
        </is>
      </c>
      <c r="G57" s="17" t="inlineStr">
        <is>
          <t>1. Click 'Proceed to Payment'
2. When Razorpay modal opens, click 'X' (Close) button to dismiss</t>
        </is>
      </c>
      <c r="H57" s="17" t="inlineStr">
        <is>
          <t>FOUNDER-ONLY — live payment verification (real ₹399 Starter purchase + Razorpay dashboard refund); interns must not run payment tests</t>
        </is>
      </c>
      <c r="I57" s="17" t="inlineStr">
        <is>
          <t>1. confirm the URL bar shows https://aivilabs.com (production)
2. Check paymentService.ts onDismiss handler</t>
        </is>
      </c>
      <c r="J57" s="14" t="inlineStr">
        <is>
          <t>P2</t>
        </is>
      </c>
      <c r="K57" s="14" t="inlineStr">
        <is>
          <t>Production</t>
        </is>
      </c>
      <c r="L57" s="14" t="inlineStr">
        <is>
          <t>Not Run</t>
        </is>
      </c>
      <c r="M57" s="15" t="inlineStr"/>
      <c r="N57" s="14" t="inlineStr"/>
      <c r="O57" s="15" t="inlineStr"/>
      <c r="P57" s="15" t="inlineStr"/>
      <c r="Q57" s="16" t="inlineStr">
        <is>
          <t>ch03/FLOW-PAY-01, ch07/§3</t>
        </is>
      </c>
    </row>
    <row r="58" ht="45" customHeight="1">
      <c r="A58" s="18" t="inlineStr">
        <is>
          <t>S03-T005</t>
        </is>
      </c>
      <c r="B58" s="19" t="inlineStr">
        <is>
          <t>S03 — PAYMENTS LIVE-MODE</t>
        </is>
      </c>
      <c r="C58" s="19" t="inlineStr">
        <is>
          <t>Adblocker / Script Blocked</t>
        </is>
      </c>
      <c r="D58" s="20" t="inlineStr">
        <is>
          <t>/dashboard</t>
        </is>
      </c>
      <c r="E58" s="19" t="inlineStr">
        <is>
          <t>Free User</t>
        </is>
      </c>
      <c r="F58" s="19" t="inlineStr">
        <is>
          <t>Adblocker enabled</t>
        </is>
      </c>
      <c r="G58" s="21" t="inlineStr">
        <is>
          <t>1. Enable strict adblocker blocking checkout.razorpay.com
2. Click 'Proceed to Payment'</t>
        </is>
      </c>
      <c r="H58" s="21" t="inlineStr">
        <is>
          <t>Script loader times out after 10s. Displays verbatim error toast: 'Unable to load Razorpay checkout script. Please check your network or adblocker/CSP settings.'</t>
        </is>
      </c>
      <c r="I58" s="21" t="inlineStr">
        <is>
          <t>1. confirm the URL bar shows https://aivilabs.com (production)
2. Check ERR-014 in ch.08
3. Check loadRazorpay timeout in paymentService.ts</t>
        </is>
      </c>
      <c r="J58" s="18" t="inlineStr">
        <is>
          <t>P2</t>
        </is>
      </c>
      <c r="K58" s="18" t="inlineStr">
        <is>
          <t>Production</t>
        </is>
      </c>
      <c r="L58" s="18" t="inlineStr">
        <is>
          <t>Not Run</t>
        </is>
      </c>
      <c r="M58" s="19" t="inlineStr"/>
      <c r="N58" s="18" t="inlineStr"/>
      <c r="O58" s="19" t="inlineStr"/>
      <c r="P58" s="19" t="inlineStr"/>
      <c r="Q58" s="20" t="inlineStr">
        <is>
          <t>ch08/ERR-014</t>
        </is>
      </c>
    </row>
    <row r="59" ht="45" customHeight="1">
      <c r="A59" s="14" t="inlineStr">
        <is>
          <t>S03-T006</t>
        </is>
      </c>
      <c r="B59" s="15" t="inlineStr">
        <is>
          <t>S03 — PAYMENTS LIVE-MODE</t>
        </is>
      </c>
      <c r="C59" s="15" t="inlineStr">
        <is>
          <t>Popup Blocked Modal Error</t>
        </is>
      </c>
      <c r="D59" s="16" t="inlineStr">
        <is>
          <t>/dashboard</t>
        </is>
      </c>
      <c r="E59" s="15" t="inlineStr">
        <is>
          <t>Free User</t>
        </is>
      </c>
      <c r="F59" s="15" t="inlineStr">
        <is>
          <t>Popups blocked</t>
        </is>
      </c>
      <c r="G59" s="17" t="inlineStr">
        <is>
          <t>1. Block popups in browser bar
2. Attempt checkout trigger</t>
        </is>
      </c>
      <c r="H59" s="17" t="inlineStr">
        <is>
          <t>Catches popup open exception. Displays verbatim error toast: 'Failed to open Razorpay modal. Please check browser pop-up settings or retry.'</t>
        </is>
      </c>
      <c r="I59" s="17" t="inlineStr">
        <is>
          <t>1. confirm the URL bar shows https://aivilabs.com (production)
2. Check ERR-015 in ch.08</t>
        </is>
      </c>
      <c r="J59" s="14" t="inlineStr">
        <is>
          <t>P2</t>
        </is>
      </c>
      <c r="K59" s="14" t="inlineStr">
        <is>
          <t>Production</t>
        </is>
      </c>
      <c r="L59" s="14" t="inlineStr">
        <is>
          <t>Not Run</t>
        </is>
      </c>
      <c r="M59" s="15" t="inlineStr"/>
      <c r="N59" s="14" t="inlineStr"/>
      <c r="O59" s="15" t="inlineStr"/>
      <c r="P59" s="15" t="inlineStr"/>
      <c r="Q59" s="16" t="inlineStr">
        <is>
          <t>ch08/ERR-015</t>
        </is>
      </c>
    </row>
    <row r="60" ht="45" customHeight="1">
      <c r="A60" s="18" t="inlineStr">
        <is>
          <t>S03-T007</t>
        </is>
      </c>
      <c r="B60" s="19" t="inlineStr">
        <is>
          <t>S03 — PAYMENTS LIVE-MODE</t>
        </is>
      </c>
      <c r="C60" s="19" t="inlineStr">
        <is>
          <t>Post-Payment Counter Reset</t>
        </is>
      </c>
      <c r="D60" s="20" t="inlineStr">
        <is>
          <t>/dashboard</t>
        </is>
      </c>
      <c r="E60" s="19" t="inlineStr">
        <is>
          <t>Starter User</t>
        </is>
      </c>
      <c r="F60" s="19" t="inlineStr">
        <is>
          <t>FOUNDER ONLY — Live Gateway</t>
        </is>
      </c>
      <c r="G60" s="21" t="inlineStr">
        <is>
          <t>1. Verify user_plans doc after live payment upgrade</t>
        </is>
      </c>
      <c r="H60" s="21" t="inlineStr">
        <is>
          <t>FOUNDER-ONLY — live payment verification (real ₹399 Starter purchase + Razorpay dashboard refund); interns must not run payment tests</t>
        </is>
      </c>
      <c r="I60" s="21" t="inlineStr">
        <is>
          <t>1. confirm the URL bar shows https://aivilabs.com (production)
2. Check razorpayWebhook entitlement logic (ch.07 §3)</t>
        </is>
      </c>
      <c r="J60" s="18" t="inlineStr">
        <is>
          <t>P1</t>
        </is>
      </c>
      <c r="K60" s="18" t="inlineStr">
        <is>
          <t>Production</t>
        </is>
      </c>
      <c r="L60" s="18" t="inlineStr">
        <is>
          <t>Not Run</t>
        </is>
      </c>
      <c r="M60" s="19" t="inlineStr"/>
      <c r="N60" s="18" t="inlineStr"/>
      <c r="O60" s="19" t="inlineStr"/>
      <c r="P60" s="19" t="inlineStr"/>
      <c r="Q60" s="20" t="inlineStr">
        <is>
          <t>ch07/§3</t>
        </is>
      </c>
    </row>
    <row r="61" ht="45" customHeight="1">
      <c r="A61" s="14" t="inlineStr">
        <is>
          <t>S03-T008</t>
        </is>
      </c>
      <c r="B61" s="15" t="inlineStr">
        <is>
          <t>S03 — PAYMENTS LIVE-MODE</t>
        </is>
      </c>
      <c r="C61" s="15" t="inlineStr">
        <is>
          <t>Upgrade Starter to Pro</t>
        </is>
      </c>
      <c r="D61" s="16" t="inlineStr">
        <is>
          <t>/dashboard</t>
        </is>
      </c>
      <c r="E61" s="15" t="inlineStr">
        <is>
          <t>Starter User</t>
        </is>
      </c>
      <c r="F61" s="15" t="inlineStr">
        <is>
          <t>FOUNDER ONLY — Live Gateway</t>
        </is>
      </c>
      <c r="G61" s="17" t="inlineStr">
        <is>
          <t>1. Click Upgrade -&gt; Select 'Pro Plan (₹599/mo)'
2. Complete live payment</t>
        </is>
      </c>
      <c r="H61" s="17" t="inlineStr">
        <is>
          <t>FOUNDER-ONLY — live payment verification (real ₹399 Starter purchase + Razorpay dashboard refund); interns must not run payment tests</t>
        </is>
      </c>
      <c r="I61" s="17" t="inlineStr">
        <is>
          <t>1. confirm the URL bar shows https://aivilabs.com (production)
2. Inspect user_plans planType field</t>
        </is>
      </c>
      <c r="J61" s="14" t="inlineStr">
        <is>
          <t>P1</t>
        </is>
      </c>
      <c r="K61" s="14" t="inlineStr">
        <is>
          <t>Production</t>
        </is>
      </c>
      <c r="L61" s="14" t="inlineStr">
        <is>
          <t>Not Run</t>
        </is>
      </c>
      <c r="M61" s="15" t="inlineStr"/>
      <c r="N61" s="14" t="inlineStr"/>
      <c r="O61" s="15" t="inlineStr"/>
      <c r="P61" s="15" t="inlineStr"/>
      <c r="Q61" s="16" t="inlineStr">
        <is>
          <t>ch07/§1</t>
        </is>
      </c>
    </row>
    <row r="62" ht="45" customHeight="1">
      <c r="A62" s="18" t="inlineStr">
        <is>
          <t>S03-T009</t>
        </is>
      </c>
      <c r="B62" s="19" t="inlineStr">
        <is>
          <t>S03 — PAYMENTS LIVE-MODE</t>
        </is>
      </c>
      <c r="C62" s="19" t="inlineStr">
        <is>
          <t>Webhook HMAC Idempotency</t>
        </is>
      </c>
      <c r="D62" s="20" t="inlineStr">
        <is>
          <t>/webhooks/razorpay</t>
        </is>
      </c>
      <c r="E62" s="19" t="inlineStr">
        <is>
          <t>System Webhook</t>
        </is>
      </c>
      <c r="F62" s="19" t="inlineStr">
        <is>
          <t>FOUNDER ONLY ⚠️[FOUNDER-VERIFY]</t>
        </is>
      </c>
      <c r="G62" s="21" t="inlineStr">
        <is>
          <t>1. Simulate duplicate Razorpay webhook event POST to /webhooks/razorpay with same eventId</t>
        </is>
      </c>
      <c r="H62" s="21" t="inlineStr">
        <is>
          <t>⚠️[FOUNDER-VERIFY] Webhook checks payment_events/{eventId}. Ignores duplicate event and returns HTTP 200 without double-crediting. FOUNDER-ONLY.</t>
        </is>
      </c>
      <c r="I62" s="21" t="inlineStr">
        <is>
          <t>1. confirm the URL bar shows https://aivilabs.com (production)
2. Check razorpayWebhook signature code</t>
        </is>
      </c>
      <c r="J62" s="18" t="inlineStr">
        <is>
          <t>P1</t>
        </is>
      </c>
      <c r="K62" s="18" t="inlineStr">
        <is>
          <t>Production</t>
        </is>
      </c>
      <c r="L62" s="18" t="inlineStr">
        <is>
          <t>Not Run</t>
        </is>
      </c>
      <c r="M62" s="19" t="inlineStr"/>
      <c r="N62" s="18" t="inlineStr"/>
      <c r="O62" s="19" t="inlineStr"/>
      <c r="P62" s="19" t="inlineStr"/>
      <c r="Q62" s="20" t="inlineStr">
        <is>
          <t>ch07/§3.2</t>
        </is>
      </c>
    </row>
    <row r="63" ht="45" customHeight="1">
      <c r="A63" s="14" t="inlineStr">
        <is>
          <t>S03-T010</t>
        </is>
      </c>
      <c r="B63" s="15" t="inlineStr">
        <is>
          <t>S03 — PAYMENTS LIVE-MODE</t>
        </is>
      </c>
      <c r="C63" s="15" t="inlineStr">
        <is>
          <t>Settings Plan Details</t>
        </is>
      </c>
      <c r="D63" s="16" t="inlineStr">
        <is>
          <t>/dashboard/settings</t>
        </is>
      </c>
      <c r="E63" s="15" t="inlineStr">
        <is>
          <t>Starter User</t>
        </is>
      </c>
      <c r="F63" s="15" t="inlineStr">
        <is>
          <t>Paid plan user</t>
        </is>
      </c>
      <c r="G63" s="17" t="inlineStr">
        <is>
          <t>1. Open /dashboard/settings
2. View 'Subscription Details' card</t>
        </is>
      </c>
      <c r="H63" s="17" t="inlineStr">
        <is>
          <t>Displays active plan ('Starter Plan'), renewal date (paid_until), and 'Manage Subscription' button.</t>
        </is>
      </c>
      <c r="I63" s="17" t="inlineStr">
        <is>
          <t>1. confirm the URL bar shows https://aivilabs.com (production)
2. Check SettingsPage plan query</t>
        </is>
      </c>
      <c r="J63" s="14" t="inlineStr">
        <is>
          <t>P2</t>
        </is>
      </c>
      <c r="K63" s="14" t="inlineStr">
        <is>
          <t>Production</t>
        </is>
      </c>
      <c r="L63" s="14" t="inlineStr">
        <is>
          <t>Not Run</t>
        </is>
      </c>
      <c r="M63" s="15" t="inlineStr"/>
      <c r="N63" s="14" t="inlineStr"/>
      <c r="O63" s="15" t="inlineStr"/>
      <c r="P63" s="15" t="inlineStr"/>
      <c r="Q63" s="16" t="inlineStr">
        <is>
          <t>ch02/Route-30</t>
        </is>
      </c>
    </row>
    <row r="64" ht="45" customHeight="1">
      <c r="A64" s="18" t="inlineStr">
        <is>
          <t>S03-T011</t>
        </is>
      </c>
      <c r="B64" s="19" t="inlineStr">
        <is>
          <t>S03 — PAYMENTS LIVE-MODE</t>
        </is>
      </c>
      <c r="C64" s="19" t="inlineStr">
        <is>
          <t>Invoice Record Verification</t>
        </is>
      </c>
      <c r="D64" s="20" t="inlineStr">
        <is>
          <t>/dashboard/settings</t>
        </is>
      </c>
      <c r="E64" s="19" t="inlineStr">
        <is>
          <t>Starter User</t>
        </is>
      </c>
      <c r="F64" s="19" t="inlineStr">
        <is>
          <t>FOUNDER ONLY ⚠️[FOUNDER-VERIFY]</t>
        </is>
      </c>
      <c r="G64" s="21" t="inlineStr">
        <is>
          <t>1. View payment receipt/invoice entry under billing history</t>
        </is>
      </c>
      <c r="H64" s="21" t="inlineStr">
        <is>
          <t>⚠️[FOUNDER-VERIFY] Displays payment order receipt, date, amount (₹399), and status 'paid' in payment_orders collection. FOUNDER-ONLY.</t>
        </is>
      </c>
      <c r="I64" s="21" t="inlineStr">
        <is>
          <t>1. confirm the URL bar shows https://aivilabs.com (production)
2. Check payment_orders collection in Firestore</t>
        </is>
      </c>
      <c r="J64" s="18" t="inlineStr">
        <is>
          <t>P2</t>
        </is>
      </c>
      <c r="K64" s="18" t="inlineStr">
        <is>
          <t>Production</t>
        </is>
      </c>
      <c r="L64" s="18" t="inlineStr">
        <is>
          <t>Not Run</t>
        </is>
      </c>
      <c r="M64" s="19" t="inlineStr"/>
      <c r="N64" s="18" t="inlineStr"/>
      <c r="O64" s="19" t="inlineStr"/>
      <c r="P64" s="19" t="inlineStr"/>
      <c r="Q64" s="20" t="inlineStr">
        <is>
          <t>ch04/§1.5</t>
        </is>
      </c>
    </row>
    <row r="65" ht="45" customHeight="1">
      <c r="A65" s="14" t="inlineStr">
        <is>
          <t>S04-T001</t>
        </is>
      </c>
      <c r="B65" s="15" t="inlineStr">
        <is>
          <t>S04 — CAMPUS PLATFORM ADMIN</t>
        </is>
      </c>
      <c r="C65" s="15" t="inlineStr">
        <is>
          <t>Platform Admin Console Load</t>
        </is>
      </c>
      <c r="D65" s="16" t="inlineStr">
        <is>
          <t>/platform-admin</t>
        </is>
      </c>
      <c r="E65" s="15" t="inlineStr">
        <is>
          <t>Platform Admin</t>
        </is>
      </c>
      <c r="F65" s="15" t="inlineStr">
        <is>
          <t>Logged in as abhi.triloki@gmail.com</t>
        </is>
      </c>
      <c r="G65" s="17" t="inlineStr">
        <is>
          <t>1. Navigate to /platform-admin</t>
        </is>
      </c>
      <c r="H65" s="17" t="inlineStr">
        <is>
          <t>Console loads displaying tenant list, active tenant counts, system stats, and seeder control panel.</t>
        </is>
      </c>
      <c r="I65" s="17" t="inlineStr">
        <is>
          <t>1. confirm the URL bar shows https://aivilabs.com (production)
2. Check PLATFORM_ADMIN_ALLOWLIST in demoSeeder.ts</t>
        </is>
      </c>
      <c r="J65" s="14" t="inlineStr">
        <is>
          <t>P0</t>
        </is>
      </c>
      <c r="K65" s="14" t="inlineStr">
        <is>
          <t>Production</t>
        </is>
      </c>
      <c r="L65" s="14" t="inlineStr">
        <is>
          <t>Not Run</t>
        </is>
      </c>
      <c r="M65" s="15" t="inlineStr"/>
      <c r="N65" s="14" t="inlineStr"/>
      <c r="O65" s="15" t="inlineStr"/>
      <c r="P65" s="15" t="inlineStr"/>
      <c r="Q65" s="16" t="inlineStr">
        <is>
          <t>ch03/FLOW-CAMPUS-01</t>
        </is>
      </c>
    </row>
    <row r="66" ht="45" customHeight="1">
      <c r="A66" s="18" t="inlineStr">
        <is>
          <t>S04-T002</t>
        </is>
      </c>
      <c r="B66" s="19" t="inlineStr">
        <is>
          <t>S04 — CAMPUS PLATFORM ADMIN</t>
        </is>
      </c>
      <c r="C66" s="19" t="inlineStr">
        <is>
          <t>Non-Admin Access Denied</t>
        </is>
      </c>
      <c r="D66" s="20" t="inlineStr">
        <is>
          <t>/platform-admin</t>
        </is>
      </c>
      <c r="E66" s="19" t="inlineStr">
        <is>
          <t>Student 1 / TPO Admin</t>
        </is>
      </c>
      <c r="F66" s="19" t="inlineStr">
        <is>
          <t>Logged in as non-platform admin</t>
        </is>
      </c>
      <c r="G66" s="21" t="inlineStr">
        <is>
          <t>1. Log in as student1@demo.aivilabs.com
2. Navigate directly to /platform-admin</t>
        </is>
      </c>
      <c r="H66" s="21" t="inlineStr">
        <is>
          <t>AdminRoute blocks access. SPA redirects user back to /dashboard (or /campus).</t>
        </is>
      </c>
      <c r="I66" s="21" t="inlineStr">
        <is>
          <t>1. confirm the URL bar shows https://aivilabs.com (production)
2. Check AdminRoute guard in components/AdminRoute.tsx</t>
        </is>
      </c>
      <c r="J66" s="18" t="inlineStr">
        <is>
          <t>P0</t>
        </is>
      </c>
      <c r="K66" s="18" t="inlineStr">
        <is>
          <t>Production</t>
        </is>
      </c>
      <c r="L66" s="18" t="inlineStr">
        <is>
          <t>Not Run</t>
        </is>
      </c>
      <c r="M66" s="19" t="inlineStr"/>
      <c r="N66" s="18" t="inlineStr"/>
      <c r="O66" s="19" t="inlineStr"/>
      <c r="P66" s="19" t="inlineStr"/>
      <c r="Q66" s="20" t="inlineStr">
        <is>
          <t>ch05/§5</t>
        </is>
      </c>
    </row>
    <row r="67" ht="45" customHeight="1">
      <c r="A67" s="14" t="inlineStr">
        <is>
          <t>S04-T003</t>
        </is>
      </c>
      <c r="B67" s="15" t="inlineStr">
        <is>
          <t>S04 — CAMPUS PLATFORM ADMIN</t>
        </is>
      </c>
      <c r="C67" s="15" t="inlineStr">
        <is>
          <t>Seed Demo Campus Execution</t>
        </is>
      </c>
      <c r="D67" s="16" t="inlineStr">
        <is>
          <t>/platform-admin</t>
        </is>
      </c>
      <c r="E67" s="15" t="inlineStr">
        <is>
          <t>Platform Admin</t>
        </is>
      </c>
      <c r="F67" s="15" t="inlineStr">
        <is>
          <t>FOUNDER-ONLY — Run by Founder or with Founder present</t>
        </is>
      </c>
      <c r="G67" s="17" t="inlineStr">
        <is>
          <t>1. On /platform-admin console, click 'Seed Sunrise Demo Campus' button
2. Confirm execution in prompt</t>
        </is>
      </c>
      <c r="H67" s="17" t="inlineStr">
        <is>
          <t>FOUNDER-ONLY / FOUNDER-VERIFY — Everything tested is LIVE product; seeder execution strictly founder-gated.</t>
        </is>
      </c>
      <c r="I67" s="17" t="inlineStr">
        <is>
          <t>1. MUST be run BY FOUNDER ONLY on production
2. confirm the URL bar shows https://aivilabs.com (production)
3. Check demo_seed_jobs doc</t>
        </is>
      </c>
      <c r="J67" s="14" t="inlineStr">
        <is>
          <t>P0</t>
        </is>
      </c>
      <c r="K67" s="14" t="inlineStr">
        <is>
          <t>Production</t>
        </is>
      </c>
      <c r="L67" s="14" t="inlineStr">
        <is>
          <t>Not Run</t>
        </is>
      </c>
      <c r="M67" s="15" t="inlineStr"/>
      <c r="N67" s="14" t="inlineStr"/>
      <c r="O67" s="15" t="inlineStr"/>
      <c r="P67" s="15" t="inlineStr"/>
      <c r="Q67" s="16" t="inlineStr">
        <is>
          <t>ch03/FLOW-CAMPUS-01</t>
        </is>
      </c>
    </row>
    <row r="68" ht="45" customHeight="1">
      <c r="A68" s="18" t="inlineStr">
        <is>
          <t>S04-T004</t>
        </is>
      </c>
      <c r="B68" s="19" t="inlineStr">
        <is>
          <t>S04 — CAMPUS PLATFORM ADMIN</t>
        </is>
      </c>
      <c r="C68" s="19" t="inlineStr">
        <is>
          <t>Tenant Provisioning</t>
        </is>
      </c>
      <c r="D68" s="20" t="inlineStr">
        <is>
          <t>/platform-admin</t>
        </is>
      </c>
      <c r="E68" s="19" t="inlineStr">
        <is>
          <t>Platform Admin</t>
        </is>
      </c>
      <c r="F68" s="19" t="inlineStr">
        <is>
          <t>Admin logged in</t>
        </is>
      </c>
      <c r="G68" s="21" t="inlineStr">
        <is>
          <t>1. Click 'Provision New Tenant'
2. Input Name 'Apex Institute', Code 'apex-inst', Plan 'pro', Seats 1000
3. Click 'Provision'</t>
        </is>
      </c>
      <c r="H68" s="21" t="inlineStr">
        <is>
          <t>provisionTenant callable function creates tenant doc in /tenants/apex-inst with branding defaults.</t>
        </is>
      </c>
      <c r="I68" s="21" t="inlineStr">
        <is>
          <t>1. confirm the URL bar shows https://aivilabs.com (production)
2. Check provisionTenant function in index.ts</t>
        </is>
      </c>
      <c r="J68" s="18" t="inlineStr">
        <is>
          <t>P1</t>
        </is>
      </c>
      <c r="K68" s="18" t="inlineStr">
        <is>
          <t>Production</t>
        </is>
      </c>
      <c r="L68" s="18" t="inlineStr">
        <is>
          <t>Not Run</t>
        </is>
      </c>
      <c r="M68" s="19" t="inlineStr"/>
      <c r="N68" s="18" t="inlineStr"/>
      <c r="O68" s="19" t="inlineStr"/>
      <c r="P68" s="19" t="inlineStr"/>
      <c r="Q68" s="20" t="inlineStr">
        <is>
          <t>ch06/Domain D</t>
        </is>
      </c>
    </row>
    <row r="69" ht="45" customHeight="1">
      <c r="A69" s="14" t="inlineStr">
        <is>
          <t>S04-T005</t>
        </is>
      </c>
      <c r="B69" s="15" t="inlineStr">
        <is>
          <t>S04 — CAMPUS PLATFORM ADMIN</t>
        </is>
      </c>
      <c r="C69" s="15" t="inlineStr">
        <is>
          <t>Toggle Tenant Status</t>
        </is>
      </c>
      <c r="D69" s="16" t="inlineStr">
        <is>
          <t>/platform-admin</t>
        </is>
      </c>
      <c r="E69" s="15" t="inlineStr">
        <is>
          <t>Platform Admin</t>
        </is>
      </c>
      <c r="F69" s="15" t="inlineStr">
        <is>
          <t>Tenant exists</t>
        </is>
      </c>
      <c r="G69" s="17" t="inlineStr">
        <is>
          <t>1. Locate tenant 'apex-inst'
2. Toggle status switch from Active to Inactive</t>
        </is>
      </c>
      <c r="H69" s="17" t="inlineStr">
        <is>
          <t>toggleTenantStatus function updates active: false in Firestore. Members attempting login get tenant suspended message.</t>
        </is>
      </c>
      <c r="I69" s="17" t="inlineStr">
        <is>
          <t>1. confirm the URL bar shows https://aivilabs.com (production)
2. Check toggleTenantStatus function</t>
        </is>
      </c>
      <c r="J69" s="14" t="inlineStr">
        <is>
          <t>P2</t>
        </is>
      </c>
      <c r="K69" s="14" t="inlineStr">
        <is>
          <t>Production</t>
        </is>
      </c>
      <c r="L69" s="14" t="inlineStr">
        <is>
          <t>Not Run</t>
        </is>
      </c>
      <c r="M69" s="15" t="inlineStr"/>
      <c r="N69" s="14" t="inlineStr"/>
      <c r="O69" s="15" t="inlineStr"/>
      <c r="P69" s="15" t="inlineStr"/>
      <c r="Q69" s="16" t="inlineStr">
        <is>
          <t>ch06/Domain H</t>
        </is>
      </c>
    </row>
    <row r="70" ht="45" customHeight="1">
      <c r="A70" s="18" t="inlineStr">
        <is>
          <t>S04-T006</t>
        </is>
      </c>
      <c r="B70" s="19" t="inlineStr">
        <is>
          <t>S04 — CAMPUS PLATFORM ADMIN</t>
        </is>
      </c>
      <c r="C70" s="19" t="inlineStr">
        <is>
          <t>Generate Tenant API Key</t>
        </is>
      </c>
      <c r="D70" s="20" t="inlineStr">
        <is>
          <t>/platform-admin</t>
        </is>
      </c>
      <c r="E70" s="19" t="inlineStr">
        <is>
          <t>Platform Admin</t>
        </is>
      </c>
      <c r="F70" s="19" t="inlineStr">
        <is>
          <t>Tenant active</t>
        </is>
      </c>
      <c r="G70" s="21" t="inlineStr">
        <is>
          <t>1. Click 'Generate API Key' for tenant 'demo-sunrise'</t>
        </is>
      </c>
      <c r="H70" s="21" t="inlineStr">
        <is>
          <t>generateTenantApiKey function issues an API credential string and stores key record in tenant_api_keys collection.</t>
        </is>
      </c>
      <c r="I70" s="21" t="inlineStr">
        <is>
          <t>1. confirm the URL bar shows https://aivilabs.com (production)
2. Check tenant_api_keys collection in ch.04</t>
        </is>
      </c>
      <c r="J70" s="18" t="inlineStr">
        <is>
          <t>P2</t>
        </is>
      </c>
      <c r="K70" s="18" t="inlineStr">
        <is>
          <t>Production</t>
        </is>
      </c>
      <c r="L70" s="18" t="inlineStr">
        <is>
          <t>Not Run</t>
        </is>
      </c>
      <c r="M70" s="19" t="inlineStr"/>
      <c r="N70" s="18" t="inlineStr"/>
      <c r="O70" s="19" t="inlineStr"/>
      <c r="P70" s="19" t="inlineStr"/>
      <c r="Q70" s="20" t="inlineStr">
        <is>
          <t>ch06/Domain H</t>
        </is>
      </c>
    </row>
    <row r="71" ht="45" customHeight="1">
      <c r="A71" s="14" t="inlineStr">
        <is>
          <t>S04-T007</t>
        </is>
      </c>
      <c r="B71" s="15" t="inlineStr">
        <is>
          <t>S04 — CAMPUS PLATFORM ADMIN</t>
        </is>
      </c>
      <c r="C71" s="15" t="inlineStr">
        <is>
          <t>Reset Demo Campus (Founder Only)</t>
        </is>
      </c>
      <c r="D71" s="16" t="inlineStr">
        <is>
          <t>/platform-admin</t>
        </is>
      </c>
      <c r="E71" s="15" t="inlineStr">
        <is>
          <t>Platform Admin</t>
        </is>
      </c>
      <c r="F71" s="15" t="inlineStr">
        <is>
          <t>FOUNDER-ONLY — Run BY FOUNDER ONLY</t>
        </is>
      </c>
      <c r="G71" s="17" t="inlineStr">
        <is>
          <t>1. Click 'Reset Demo Campus'
2. Enter confirmation phrase 'DELETE DEMO'
3. Submit reset request</t>
        </is>
      </c>
      <c r="H71" s="17" t="inlineStr">
        <is>
          <t>⚠️[FOUNDER-VERIFY] runDemoReset purges all demo-sunrise docs across 8 collections and deletes staff Auth users. STRICTLY FOUNDER ONLY on Production.</t>
        </is>
      </c>
      <c r="I71" s="17" t="inlineStr">
        <is>
          <t>1. STRICTLY FOUNDER ONLY
2. confirm the URL bar shows https://aivilabs.com (production)</t>
        </is>
      </c>
      <c r="J71" s="14" t="inlineStr">
        <is>
          <t>P0</t>
        </is>
      </c>
      <c r="K71" s="14" t="inlineStr">
        <is>
          <t>Production</t>
        </is>
      </c>
      <c r="L71" s="14" t="inlineStr">
        <is>
          <t>Not Run</t>
        </is>
      </c>
      <c r="M71" s="15" t="inlineStr"/>
      <c r="N71" s="14" t="inlineStr"/>
      <c r="O71" s="15" t="inlineStr"/>
      <c r="P71" s="15" t="inlineStr"/>
      <c r="Q71" s="16" t="inlineStr">
        <is>
          <t>ch03/FLOW-CAMPUS-01, ch11/§3.2</t>
        </is>
      </c>
    </row>
    <row r="72" ht="45" customHeight="1">
      <c r="A72" s="18" t="inlineStr">
        <is>
          <t>S04-T008</t>
        </is>
      </c>
      <c r="B72" s="19" t="inlineStr">
        <is>
          <t>S04 — CAMPUS PLATFORM ADMIN</t>
        </is>
      </c>
      <c r="C72" s="19" t="inlineStr">
        <is>
          <t>Public Tenant List API</t>
        </is>
      </c>
      <c r="D72" s="20" t="inlineStr">
        <is>
          <t>/campus/login</t>
        </is>
      </c>
      <c r="E72" s="19" t="inlineStr">
        <is>
          <t>Public Visitor</t>
        </is>
      </c>
      <c r="F72" s="19" t="inlineStr">
        <is>
          <t>Browser open</t>
        </is>
      </c>
      <c r="G72" s="21" t="inlineStr">
        <is>
          <t>1. Open /campus/login dropdown menu</t>
        </is>
      </c>
      <c r="H72" s="21" t="inlineStr">
        <is>
          <t>listTenantsPublic function returns list of active tenant names and codes for dropdown selection.</t>
        </is>
      </c>
      <c r="I72" s="21" t="inlineStr">
        <is>
          <t>1. confirm the URL bar shows https://aivilabs.com (production)
2. Check listTenantsPublic function</t>
        </is>
      </c>
      <c r="J72" s="18" t="inlineStr">
        <is>
          <t>P2</t>
        </is>
      </c>
      <c r="K72" s="18" t="inlineStr">
        <is>
          <t>Production</t>
        </is>
      </c>
      <c r="L72" s="18" t="inlineStr">
        <is>
          <t>Not Run</t>
        </is>
      </c>
      <c r="M72" s="19" t="inlineStr"/>
      <c r="N72" s="18" t="inlineStr"/>
      <c r="O72" s="19" t="inlineStr"/>
      <c r="P72" s="19" t="inlineStr"/>
      <c r="Q72" s="20" t="inlineStr">
        <is>
          <t>ch06/Domain D</t>
        </is>
      </c>
    </row>
    <row r="73" ht="45" customHeight="1">
      <c r="A73" s="14" t="inlineStr">
        <is>
          <t>S05-T001</t>
        </is>
      </c>
      <c r="B73" s="15" t="inlineStr">
        <is>
          <t>S05 — CAMPUS TPO &amp; STAFF</t>
        </is>
      </c>
      <c r="C73" s="15" t="inlineStr">
        <is>
          <t>TPO Dashboard Overview</t>
        </is>
      </c>
      <c r="D73" s="16" t="inlineStr">
        <is>
          <t>/campus</t>
        </is>
      </c>
      <c r="E73" s="15" t="inlineStr">
        <is>
          <t>TPO Admin</t>
        </is>
      </c>
      <c r="F73" s="15" t="inlineStr">
        <is>
          <t>Logged in as tpo.director@demo.aivilabs.com</t>
        </is>
      </c>
      <c r="G73" s="17" t="inlineStr">
        <is>
          <t>1. Navigate to /campus</t>
        </is>
      </c>
      <c r="H73" s="17" t="inlineStr">
        <is>
          <t>Dashboard loads displaying total student count (242), average AES score (58.4), placement percentage, and AES score bands.</t>
        </is>
      </c>
      <c r="I73" s="17" t="inlineStr">
        <is>
          <t>1. confirm the URL bar shows https://aivilabs.com (production)
2. Check tenant_daily_stats collection</t>
        </is>
      </c>
      <c r="J73" s="14" t="inlineStr">
        <is>
          <t>P0</t>
        </is>
      </c>
      <c r="K73" s="14" t="inlineStr">
        <is>
          <t>Production</t>
        </is>
      </c>
      <c r="L73" s="14" t="inlineStr">
        <is>
          <t>Not Run</t>
        </is>
      </c>
      <c r="M73" s="15" t="inlineStr"/>
      <c r="N73" s="14" t="inlineStr"/>
      <c r="O73" s="15" t="inlineStr"/>
      <c r="P73" s="15" t="inlineStr"/>
      <c r="Q73" s="16" t="inlineStr">
        <is>
          <t>ch03/FLOW-CAMPUS-01</t>
        </is>
      </c>
    </row>
    <row r="74" ht="45" customHeight="1">
      <c r="A74" s="18" t="inlineStr">
        <is>
          <t>S05-T002</t>
        </is>
      </c>
      <c r="B74" s="19" t="inlineStr">
        <is>
          <t>S05 — CAMPUS TPO &amp; STAFF</t>
        </is>
      </c>
      <c r="C74" s="19" t="inlineStr">
        <is>
          <t>Students Directory Filtering</t>
        </is>
      </c>
      <c r="D74" s="20" t="inlineStr">
        <is>
          <t>/campus/students</t>
        </is>
      </c>
      <c r="E74" s="19" t="inlineStr">
        <is>
          <t>TPO Admin</t>
        </is>
      </c>
      <c r="F74" s="19" t="inlineStr">
        <is>
          <t>On students page</t>
        </is>
      </c>
      <c r="G74" s="21" t="inlineStr">
        <is>
          <t>1. Open /campus/students
2. Select Branch filter 'CSE' and Batch '2026'</t>
        </is>
      </c>
      <c r="H74" s="21" t="inlineStr">
        <is>
          <t>Roster updates to display only 96 CSE students. Displays student name, enrollment no, CGPA, AES score, and placement status.</t>
        </is>
      </c>
      <c r="I74" s="21" t="inlineStr">
        <is>
          <t>1. confirm the URL bar shows https://aivilabs.com (production)
2. Check Firestore index (tenantId, branch)</t>
        </is>
      </c>
      <c r="J74" s="18" t="inlineStr">
        <is>
          <t>P1</t>
        </is>
      </c>
      <c r="K74" s="18" t="inlineStr">
        <is>
          <t>Production</t>
        </is>
      </c>
      <c r="L74" s="18" t="inlineStr">
        <is>
          <t>Not Run</t>
        </is>
      </c>
      <c r="M74" s="19" t="inlineStr"/>
      <c r="N74" s="18" t="inlineStr"/>
      <c r="O74" s="19" t="inlineStr"/>
      <c r="P74" s="19" t="inlineStr"/>
      <c r="Q74" s="20" t="inlineStr">
        <is>
          <t>ch02/Route-34, ch04/§1.2</t>
        </is>
      </c>
    </row>
    <row r="75" ht="45" customHeight="1">
      <c r="A75" s="14" t="inlineStr">
        <is>
          <t>S05-T003</t>
        </is>
      </c>
      <c r="B75" s="15" t="inlineStr">
        <is>
          <t>S05 — CAMPUS TPO &amp; STAFF</t>
        </is>
      </c>
      <c r="C75" s="15" t="inlineStr">
        <is>
          <t>CSV Student Import Happy Path</t>
        </is>
      </c>
      <c r="D75" s="16" t="inlineStr">
        <is>
          <t>/campus/import</t>
        </is>
      </c>
      <c r="E75" s="15" t="inlineStr">
        <is>
          <t>TPO Admin</t>
        </is>
      </c>
      <c r="F75" s="15" t="inlineStr">
        <is>
          <t>Valid CSV ready</t>
        </is>
      </c>
      <c r="G75" s="17" t="inlineStr">
        <is>
          <t>1. Open /campus/import
2. Drag &amp; drop CSV file with 3 sample rows (Rohan, Sneha, Vipul from ch.11)
3. Map columns and click 'Execute Import'</t>
        </is>
      </c>
      <c r="H75" s="17" t="inlineStr">
        <is>
          <t>importStudentsCsv function provisions 3 student Auth accounts, sets custom claims, creates profiles and employability_scores docs. Summary displays: 'Import Complete: 3 Students Created, 0 Errors.'</t>
        </is>
      </c>
      <c r="I75" s="17" t="inlineStr">
        <is>
          <t>1. confirm the URL bar shows https://aivilabs.com (production)
2. Check importStudentsCsv function (ch.03/FLOW-CAMPUS-02)</t>
        </is>
      </c>
      <c r="J75" s="14" t="inlineStr">
        <is>
          <t>P0</t>
        </is>
      </c>
      <c r="K75" s="14" t="inlineStr">
        <is>
          <t>Production</t>
        </is>
      </c>
      <c r="L75" s="14" t="inlineStr">
        <is>
          <t>Not Run</t>
        </is>
      </c>
      <c r="M75" s="15" t="inlineStr"/>
      <c r="N75" s="14" t="inlineStr"/>
      <c r="O75" s="15" t="inlineStr"/>
      <c r="P75" s="15" t="inlineStr"/>
      <c r="Q75" s="16" t="inlineStr">
        <is>
          <t>ch03/FLOW-CAMPUS-02</t>
        </is>
      </c>
    </row>
    <row r="76" ht="45" customHeight="1">
      <c r="A76" s="18" t="inlineStr">
        <is>
          <t>S05-T004</t>
        </is>
      </c>
      <c r="B76" s="19" t="inlineStr">
        <is>
          <t>S05 — CAMPUS TPO &amp; STAFF</t>
        </is>
      </c>
      <c r="C76" s="19" t="inlineStr">
        <is>
          <t>CSV Duplicate Enrollment Error</t>
        </is>
      </c>
      <c r="D76" s="20" t="inlineStr">
        <is>
          <t>/campus/import</t>
        </is>
      </c>
      <c r="E76" s="19" t="inlineStr">
        <is>
          <t>TPO Admin</t>
        </is>
      </c>
      <c r="F76" s="19" t="inlineStr">
        <is>
          <t>CSV with duplicate ready</t>
        </is>
      </c>
      <c r="G76" s="21" t="inlineStr">
        <is>
          <t>1. Upload CSV containing duplicate enrollment 'SEC26CSE099' (from ch.11 sample)
2. Execute import</t>
        </is>
      </c>
      <c r="H76" s="21" t="inlineStr">
        <is>
          <t>Import job completes with row-level error. Summary displays: 'Success: 0, Errors: 1. Row 1: Enrollment SEC26CSE099 already exists.'</t>
        </is>
      </c>
      <c r="I76" s="21" t="inlineStr">
        <is>
          <t>1. confirm the URL bar shows https://aivilabs.com (production)
2. Check import_jobs collection error log</t>
        </is>
      </c>
      <c r="J76" s="18" t="inlineStr">
        <is>
          <t>P2</t>
        </is>
      </c>
      <c r="K76" s="18" t="inlineStr">
        <is>
          <t>Production</t>
        </is>
      </c>
      <c r="L76" s="18" t="inlineStr">
        <is>
          <t>Not Run</t>
        </is>
      </c>
      <c r="M76" s="19" t="inlineStr"/>
      <c r="N76" s="18" t="inlineStr"/>
      <c r="O76" s="19" t="inlineStr"/>
      <c r="P76" s="19" t="inlineStr"/>
      <c r="Q76" s="20" t="inlineStr">
        <is>
          <t>ch03/FLOW-CAMPUS-02</t>
        </is>
      </c>
    </row>
    <row r="77" ht="45" customHeight="1">
      <c r="A77" s="14" t="inlineStr">
        <is>
          <t>S05-T005</t>
        </is>
      </c>
      <c r="B77" s="15" t="inlineStr">
        <is>
          <t>S05 — CAMPUS TPO &amp; STAFF</t>
        </is>
      </c>
      <c r="C77" s="15" t="inlineStr">
        <is>
          <t>CSV Import History Log</t>
        </is>
      </c>
      <c r="D77" s="16" t="inlineStr">
        <is>
          <t>/campus/history</t>
        </is>
      </c>
      <c r="E77" s="15" t="inlineStr">
        <is>
          <t>TPO Admin</t>
        </is>
      </c>
      <c r="F77" s="15" t="inlineStr">
        <is>
          <t>Import jobs executed</t>
        </is>
      </c>
      <c r="G77" s="17" t="inlineStr">
        <is>
          <t>1. Open /campus/history</t>
        </is>
      </c>
      <c r="H77" s="17" t="inlineStr">
        <is>
          <t>Roster renders past CSV import jobs displaying date, processed row count, success count, error count, and status 'completed'.</t>
        </is>
      </c>
      <c r="I77" s="17" t="inlineStr">
        <is>
          <t>1. confirm the URL bar shows https://aivilabs.com (production)
2. Check import_jobs collection in Firestore</t>
        </is>
      </c>
      <c r="J77" s="14" t="inlineStr">
        <is>
          <t>P2</t>
        </is>
      </c>
      <c r="K77" s="14" t="inlineStr">
        <is>
          <t>Production</t>
        </is>
      </c>
      <c r="L77" s="14" t="inlineStr">
        <is>
          <t>Not Run</t>
        </is>
      </c>
      <c r="M77" s="15" t="inlineStr"/>
      <c r="N77" s="14" t="inlineStr"/>
      <c r="O77" s="15" t="inlineStr"/>
      <c r="P77" s="15" t="inlineStr"/>
      <c r="Q77" s="16" t="inlineStr">
        <is>
          <t>ch02/Route-36</t>
        </is>
      </c>
    </row>
    <row r="78" ht="45" customHeight="1">
      <c r="A78" s="18" t="inlineStr">
        <is>
          <t>S05-T006</t>
        </is>
      </c>
      <c r="B78" s="19" t="inlineStr">
        <is>
          <t>S05 — CAMPUS TPO &amp; STAFF</t>
        </is>
      </c>
      <c r="C78" s="19" t="inlineStr">
        <is>
          <t>Nudge Student Profile</t>
        </is>
      </c>
      <c r="D78" s="20" t="inlineStr">
        <is>
          <t>/campus/students</t>
        </is>
      </c>
      <c r="E78" s="19" t="inlineStr">
        <is>
          <t>TPO Admin</t>
        </is>
      </c>
      <c r="F78" s="19" t="inlineStr">
        <is>
          <t>On students page</t>
        </is>
      </c>
      <c r="G78" s="21" t="inlineStr">
        <is>
          <t>1. Locate student with incomplete profile
2. Click 'Nudge Student' button</t>
        </is>
      </c>
      <c r="H78" s="21" t="inlineStr">
        <is>
          <t>nudgeStudent function dispatches email reminder to student's email address. Displays toast: 'Nudge email sent to student.'</t>
        </is>
      </c>
      <c r="I78" s="21" t="inlineStr">
        <is>
          <t>1. confirm the URL bar shows https://aivilabs.com (production)
2. Check nudgeStudent function in index.ts</t>
        </is>
      </c>
      <c r="J78" s="18" t="inlineStr">
        <is>
          <t>P2</t>
        </is>
      </c>
      <c r="K78" s="18" t="inlineStr">
        <is>
          <t>Production</t>
        </is>
      </c>
      <c r="L78" s="18" t="inlineStr">
        <is>
          <t>Not Run</t>
        </is>
      </c>
      <c r="M78" s="19" t="inlineStr"/>
      <c r="N78" s="18" t="inlineStr"/>
      <c r="O78" s="19" t="inlineStr"/>
      <c r="P78" s="19" t="inlineStr"/>
      <c r="Q78" s="20" t="inlineStr">
        <is>
          <t>ch06/Domain H</t>
        </is>
      </c>
    </row>
    <row r="79" ht="45" customHeight="1">
      <c r="A79" s="14" t="inlineStr">
        <is>
          <t>S05-T007</t>
        </is>
      </c>
      <c r="B79" s="15" t="inlineStr">
        <is>
          <t>S05 — CAMPUS TPO &amp; STAFF</t>
        </is>
      </c>
      <c r="C79" s="15" t="inlineStr">
        <is>
          <t>Tenant Seat Limit Exceeded</t>
        </is>
      </c>
      <c r="D79" s="16" t="inlineStr">
        <is>
          <t>/campus/import</t>
        </is>
      </c>
      <c r="E79" s="15" t="inlineStr">
        <is>
          <t>TPO Admin</t>
        </is>
      </c>
      <c r="F79" s="15" t="inlineStr">
        <is>
          <t>Tenant seats full ⚠️[FOUNDER-VERIFY]</t>
        </is>
      </c>
      <c r="G79" s="17" t="inlineStr">
        <is>
          <t>1. Attempt CSV import where row count exceeds remaining tenant seats quota</t>
        </is>
      </c>
      <c r="H79" s="17" t="inlineStr">
        <is>
          <t>⚠️[FOUNDER-VERIFY] importStudentsCsv function blocks execution. Displays verbatim error: 'Tenant seat limit reached. Upgrade campus plan to add more students.'</t>
        </is>
      </c>
      <c r="I79" s="17" t="inlineStr">
        <is>
          <t>1. confirm the URL bar shows https://aivilabs.com (production)
2. Check ERR-019 in ch.08
3. Compare seatsUsed vs seats in tenant doc</t>
        </is>
      </c>
      <c r="J79" s="14" t="inlineStr">
        <is>
          <t>P1</t>
        </is>
      </c>
      <c r="K79" s="14" t="inlineStr">
        <is>
          <t>Production</t>
        </is>
      </c>
      <c r="L79" s="14" t="inlineStr">
        <is>
          <t>Not Run</t>
        </is>
      </c>
      <c r="M79" s="15" t="inlineStr"/>
      <c r="N79" s="14" t="inlineStr"/>
      <c r="O79" s="15" t="inlineStr"/>
      <c r="P79" s="15" t="inlineStr"/>
      <c r="Q79" s="16" t="inlineStr">
        <is>
          <t>ch08/ERR-019</t>
        </is>
      </c>
    </row>
    <row r="80" ht="45" customHeight="1">
      <c r="A80" s="18" t="inlineStr">
        <is>
          <t>S05-T008</t>
        </is>
      </c>
      <c r="B80" s="19" t="inlineStr">
        <is>
          <t>S05 — CAMPUS TPO &amp; STAFF</t>
        </is>
      </c>
      <c r="C80" s="19" t="inlineStr">
        <is>
          <t>Create Placement Drive</t>
        </is>
      </c>
      <c r="D80" s="20" t="inlineStr">
        <is>
          <t>/campus/drives</t>
        </is>
      </c>
      <c r="E80" s="19" t="inlineStr">
        <is>
          <t>TPO Admin</t>
        </is>
      </c>
      <c r="F80" s="19" t="inlineStr">
        <is>
          <t>On drives page</t>
        </is>
      </c>
      <c r="G80" s="21" t="inlineStr">
        <is>
          <t>1. Open /campus/drives -&gt; Click 'Create Drive'
2. Enter Company 'Infosys Specialist', Role 'Systems Engineer'
3. Paste corporate JD text -&gt; Click 'Parse JD with AI'</t>
        </is>
      </c>
      <c r="H80" s="21" t="inlineStr">
        <is>
          <t>parseDriveJd uses Gemini AI to extract required skills, min CGPA (6.5), and branch hints. Fills drive form fields automatically.</t>
        </is>
      </c>
      <c r="I80" s="21" t="inlineStr">
        <is>
          <t>1. confirm the URL bar shows https://aivilabs.com (production)
2. Check parseDriveJd function in index.ts</t>
        </is>
      </c>
      <c r="J80" s="18" t="inlineStr">
        <is>
          <t>P0</t>
        </is>
      </c>
      <c r="K80" s="18" t="inlineStr">
        <is>
          <t>Production</t>
        </is>
      </c>
      <c r="L80" s="18" t="inlineStr">
        <is>
          <t>Not Run</t>
        </is>
      </c>
      <c r="M80" s="19" t="inlineStr"/>
      <c r="N80" s="18" t="inlineStr"/>
      <c r="O80" s="19" t="inlineStr"/>
      <c r="P80" s="19" t="inlineStr"/>
      <c r="Q80" s="20" t="inlineStr">
        <is>
          <t>ch03/FLOW-CAMPUS-03</t>
        </is>
      </c>
    </row>
    <row r="81" ht="45" customHeight="1">
      <c r="A81" s="14" t="inlineStr">
        <is>
          <t>S05-T009</t>
        </is>
      </c>
      <c r="B81" s="15" t="inlineStr">
        <is>
          <t>S05 — CAMPUS TPO &amp; STAFF</t>
        </is>
      </c>
      <c r="C81" s="15" t="inlineStr">
        <is>
          <t>Publish Placement Drive</t>
        </is>
      </c>
      <c r="D81" s="16" t="inlineStr">
        <is>
          <t>/campus/drives</t>
        </is>
      </c>
      <c r="E81" s="15" t="inlineStr">
        <is>
          <t>TPO Admin</t>
        </is>
      </c>
      <c r="F81" s="15" t="inlineStr">
        <is>
          <t>Drive draft ready</t>
        </is>
      </c>
      <c r="G81" s="17" t="inlineStr">
        <is>
          <t>1. Set minCgpa: 6.5, allowed branches: ['CSE', 'ECE'], CTC: 4.5 LPA
2. Click 'Publish Drive'</t>
        </is>
      </c>
      <c r="H81" s="17" t="inlineStr">
        <is>
          <t>publishDrive updates drive status to 'published'. Drive becomes visible to eligible students on their drive dashboard.</t>
        </is>
      </c>
      <c r="I81" s="17" t="inlineStr">
        <is>
          <t>1. confirm the URL bar shows https://aivilabs.com (production)
2. Check placement_drives collection in Firestore</t>
        </is>
      </c>
      <c r="J81" s="14" t="inlineStr">
        <is>
          <t>P0</t>
        </is>
      </c>
      <c r="K81" s="14" t="inlineStr">
        <is>
          <t>Production</t>
        </is>
      </c>
      <c r="L81" s="14" t="inlineStr">
        <is>
          <t>Not Run</t>
        </is>
      </c>
      <c r="M81" s="15" t="inlineStr"/>
      <c r="N81" s="14" t="inlineStr"/>
      <c r="O81" s="15" t="inlineStr"/>
      <c r="P81" s="15" t="inlineStr"/>
      <c r="Q81" s="16" t="inlineStr">
        <is>
          <t>ch03/FLOW-CAMPUS-03</t>
        </is>
      </c>
    </row>
    <row r="82" ht="45" customHeight="1">
      <c r="A82" s="18" t="inlineStr">
        <is>
          <t>S05-T010</t>
        </is>
      </c>
      <c r="B82" s="19" t="inlineStr">
        <is>
          <t>S05 — CAMPUS TPO &amp; STAFF</t>
        </is>
      </c>
      <c r="C82" s="19" t="inlineStr">
        <is>
          <t>Run AI Shortlist</t>
        </is>
      </c>
      <c r="D82" s="20" t="inlineStr">
        <is>
          <t>/campus/drives</t>
        </is>
      </c>
      <c r="E82" s="19" t="inlineStr">
        <is>
          <t>TPO Admin</t>
        </is>
      </c>
      <c r="F82" s="19" t="inlineStr">
        <is>
          <t>Published drive selected</t>
        </is>
      </c>
      <c r="G82" s="21" t="inlineStr">
        <is>
          <t>1. On drive detail card, click 'Run AI Shortlist'</t>
        </is>
      </c>
      <c r="H82" s="21" t="inlineStr">
        <is>
          <t>computeDriveShortlist evaluates student CGPA, AES, and DPDP consent. Populates drive_applications with eligible students. Displays shortlist count (e.g. 38 shortlisted).</t>
        </is>
      </c>
      <c r="I82" s="21" t="inlineStr">
        <is>
          <t>1. confirm the URL bar shows https://aivilabs.com (production)
2. Check computeDriveShortlist function in index.ts</t>
        </is>
      </c>
      <c r="J82" s="18" t="inlineStr">
        <is>
          <t>P0</t>
        </is>
      </c>
      <c r="K82" s="18" t="inlineStr">
        <is>
          <t>Production</t>
        </is>
      </c>
      <c r="L82" s="18" t="inlineStr">
        <is>
          <t>Not Run</t>
        </is>
      </c>
      <c r="M82" s="19" t="inlineStr"/>
      <c r="N82" s="18" t="inlineStr"/>
      <c r="O82" s="19" t="inlineStr"/>
      <c r="P82" s="19" t="inlineStr"/>
      <c r="Q82" s="20" t="inlineStr">
        <is>
          <t>ch03/FLOW-CAMPUS-03</t>
        </is>
      </c>
    </row>
    <row r="83" ht="45" customHeight="1">
      <c r="A83" s="14" t="inlineStr">
        <is>
          <t>S05-T011</t>
        </is>
      </c>
      <c r="B83" s="15" t="inlineStr">
        <is>
          <t>S05 — CAMPUS TPO &amp; STAFF</t>
        </is>
      </c>
      <c r="C83" s="15" t="inlineStr">
        <is>
          <t>Shortlist CGPA Exclusion Check</t>
        </is>
      </c>
      <c r="D83" s="16" t="inlineStr">
        <is>
          <t>/campus/drives</t>
        </is>
      </c>
      <c r="E83" s="15" t="inlineStr">
        <is>
          <t>TPO Admin</t>
        </is>
      </c>
      <c r="F83" s="15" t="inlineStr">
        <is>
          <t>Shortlist computed</t>
        </is>
      </c>
      <c r="G83" s="17" t="inlineStr">
        <is>
          <t>1. Inspect shortlisted students list for drive requiring CGPA &gt;= 6.5</t>
        </is>
      </c>
      <c r="H83" s="17" t="inlineStr">
        <is>
          <t>Students with CGPA &lt; 6.5 (or missing CGPA) are excluded from the shortlist (`eligible: false`).</t>
        </is>
      </c>
      <c r="I83" s="17" t="inlineStr">
        <is>
          <t>1. confirm the URL bar shows https://aivilabs.com (production)
2. Check student CGPA in profiles collection</t>
        </is>
      </c>
      <c r="J83" s="14" t="inlineStr">
        <is>
          <t>P1</t>
        </is>
      </c>
      <c r="K83" s="14" t="inlineStr">
        <is>
          <t>Production</t>
        </is>
      </c>
      <c r="L83" s="14" t="inlineStr">
        <is>
          <t>Not Run</t>
        </is>
      </c>
      <c r="M83" s="15" t="inlineStr"/>
      <c r="N83" s="14" t="inlineStr"/>
      <c r="O83" s="15" t="inlineStr"/>
      <c r="P83" s="15" t="inlineStr"/>
      <c r="Q83" s="16" t="inlineStr">
        <is>
          <t>ch03/FLOW-CAMPUS-03</t>
        </is>
      </c>
    </row>
    <row r="84" ht="45" customHeight="1">
      <c r="A84" s="18" t="inlineStr">
        <is>
          <t>S05-T012</t>
        </is>
      </c>
      <c r="B84" s="19" t="inlineStr">
        <is>
          <t>S05 — CAMPUS TPO &amp; STAFF</t>
        </is>
      </c>
      <c r="C84" s="19" t="inlineStr">
        <is>
          <t>Generate Placement Sprint</t>
        </is>
      </c>
      <c r="D84" s="20" t="inlineStr">
        <is>
          <t>/campus/sprints</t>
        </is>
      </c>
      <c r="E84" s="19" t="inlineStr">
        <is>
          <t>TPO Admin</t>
        </is>
      </c>
      <c r="F84" s="19" t="inlineStr">
        <is>
          <t>Drive published</t>
        </is>
      </c>
      <c r="G84" s="21" t="inlineStr">
        <is>
          <t>1. Open /campus/sprints -&gt; Select drive 'Infosys Specialist'
2. Click 'Generate AI Sprint'</t>
        </is>
      </c>
      <c r="H84" s="21" t="inlineStr">
        <is>
          <t>generateDriveSprint calls Gemini to generate a structured 7-day preparation sprint with daily tasks and deep links.</t>
        </is>
      </c>
      <c r="I84" s="21" t="inlineStr">
        <is>
          <t>1. confirm the URL bar shows https://aivilabs.com (production)
2. Check generateDriveSprint function</t>
        </is>
      </c>
      <c r="J84" s="18" t="inlineStr">
        <is>
          <t>P1</t>
        </is>
      </c>
      <c r="K84" s="18" t="inlineStr">
        <is>
          <t>Production</t>
        </is>
      </c>
      <c r="L84" s="18" t="inlineStr">
        <is>
          <t>Not Run</t>
        </is>
      </c>
      <c r="M84" s="19" t="inlineStr"/>
      <c r="N84" s="18" t="inlineStr"/>
      <c r="O84" s="19" t="inlineStr"/>
      <c r="P84" s="19" t="inlineStr"/>
      <c r="Q84" s="20" t="inlineStr">
        <is>
          <t>ch06/Domain E</t>
        </is>
      </c>
    </row>
    <row r="85" ht="45" customHeight="1">
      <c r="A85" s="14" t="inlineStr">
        <is>
          <t>S05-T013</t>
        </is>
      </c>
      <c r="B85" s="15" t="inlineStr">
        <is>
          <t>S05 — CAMPUS TPO &amp; STAFF</t>
        </is>
      </c>
      <c r="C85" s="15" t="inlineStr">
        <is>
          <t>Resume Vault Review &amp; Verify</t>
        </is>
      </c>
      <c r="D85" s="16" t="inlineStr">
        <is>
          <t>/campus/vault</t>
        </is>
      </c>
      <c r="E85" s="15" t="inlineStr">
        <is>
          <t>TPO Admin</t>
        </is>
      </c>
      <c r="F85" s="15" t="inlineStr">
        <is>
          <t>Student resumes submitted</t>
        </is>
      </c>
      <c r="G85" s="17" t="inlineStr">
        <is>
          <t>1. Open /campus/vault -&gt; Select student resume in 'submitted' status
2. Click 'Verify Resume'</t>
        </is>
      </c>
      <c r="H85" s="17" t="inlineStr">
        <is>
          <t>verifyResume approves resume. Generates PDF byte buffer stamped with TPO verification QR code (storing verification URL). Updates status to 'verified'.</t>
        </is>
      </c>
      <c r="I85" s="17" t="inlineStr">
        <is>
          <t>1. confirm the URL bar shows https://aivilabs.com (production)
2. Check verifyResume function &amp; pdf-lib stamping (ch.03/FLOW-CAMPUS-01)</t>
        </is>
      </c>
      <c r="J85" s="14" t="inlineStr">
        <is>
          <t>P0</t>
        </is>
      </c>
      <c r="K85" s="14" t="inlineStr">
        <is>
          <t>Production</t>
        </is>
      </c>
      <c r="L85" s="14" t="inlineStr">
        <is>
          <t>Not Run</t>
        </is>
      </c>
      <c r="M85" s="15" t="inlineStr"/>
      <c r="N85" s="14" t="inlineStr"/>
      <c r="O85" s="15" t="inlineStr"/>
      <c r="P85" s="15" t="inlineStr"/>
      <c r="Q85" s="16" t="inlineStr">
        <is>
          <t>ch03/FLOW-CAMPUS-01, ch06/Domain F</t>
        </is>
      </c>
    </row>
    <row r="86" ht="45" customHeight="1">
      <c r="A86" s="18" t="inlineStr">
        <is>
          <t>S05-T014</t>
        </is>
      </c>
      <c r="B86" s="19" t="inlineStr">
        <is>
          <t>S05 — CAMPUS TPO &amp; STAFF</t>
        </is>
      </c>
      <c r="C86" s="19" t="inlineStr">
        <is>
          <t>Request Resume Changes</t>
        </is>
      </c>
      <c r="D86" s="20" t="inlineStr">
        <is>
          <t>/campus/vault</t>
        </is>
      </c>
      <c r="E86" s="19" t="inlineStr">
        <is>
          <t>TPO Admin</t>
        </is>
      </c>
      <c r="F86" s="19" t="inlineStr">
        <is>
          <t>Student resume selected</t>
        </is>
      </c>
      <c r="G86" s="21" t="inlineStr">
        <is>
          <t>1. Select student resume -&gt; Click 'Request Changes'
2. Enter feedback 'Add metrics to project bullet 2'
3. Submit feedback</t>
        </is>
      </c>
      <c r="H86" s="21" t="inlineStr">
        <is>
          <t>requestResumeChanges updates vault status to 'changes_requested' and records feedback text. Student receives notification.</t>
        </is>
      </c>
      <c r="I86" s="21" t="inlineStr">
        <is>
          <t>1. confirm the URL bar shows https://aivilabs.com (production)
2. Check requestResumeChanges function in index.ts</t>
        </is>
      </c>
      <c r="J86" s="18" t="inlineStr">
        <is>
          <t>P1</t>
        </is>
      </c>
      <c r="K86" s="18" t="inlineStr">
        <is>
          <t>Production</t>
        </is>
      </c>
      <c r="L86" s="18" t="inlineStr">
        <is>
          <t>Not Run</t>
        </is>
      </c>
      <c r="M86" s="19" t="inlineStr"/>
      <c r="N86" s="18" t="inlineStr"/>
      <c r="O86" s="19" t="inlineStr"/>
      <c r="P86" s="19" t="inlineStr"/>
      <c r="Q86" s="20" t="inlineStr">
        <is>
          <t>ch06/Domain F</t>
        </is>
      </c>
    </row>
    <row r="87" ht="45" customHeight="1">
      <c r="A87" s="14" t="inlineStr">
        <is>
          <t>S05-T015</t>
        </is>
      </c>
      <c r="B87" s="15" t="inlineStr">
        <is>
          <t>S05 — CAMPUS TPO &amp; STAFF</t>
        </is>
      </c>
      <c r="C87" s="15" t="inlineStr">
        <is>
          <t>Accreditation Report Export</t>
        </is>
      </c>
      <c r="D87" s="16" t="inlineStr">
        <is>
          <t>/campus/accreditation</t>
        </is>
      </c>
      <c r="E87" s="15" t="inlineStr">
        <is>
          <t>TPO Admin</t>
        </is>
      </c>
      <c r="F87" s="15" t="inlineStr">
        <is>
          <t>On accreditation page</t>
        </is>
      </c>
      <c r="G87" s="17" t="inlineStr">
        <is>
          <t>1. Open /campus/accreditation
2. Select Report Type 'NAAC Criterion 5 (Student Support &amp; Progression)'
3. Click 'Generate Report'</t>
        </is>
      </c>
      <c r="H87" s="17" t="inlineStr">
        <is>
          <t>generateAccreditationReport provisions job in acc_report_jobs. Compiles PDF/CSV report containing student placement stats, AES bands, and drive outcomes.</t>
        </is>
      </c>
      <c r="I87" s="17" t="inlineStr">
        <is>
          <t>1. confirm the URL bar shows https://aivilabs.com (production)
2. Check acc_report_jobs collection</t>
        </is>
      </c>
      <c r="J87" s="14" t="inlineStr">
        <is>
          <t>P1</t>
        </is>
      </c>
      <c r="K87" s="14" t="inlineStr">
        <is>
          <t>Production</t>
        </is>
      </c>
      <c r="L87" s="14" t="inlineStr">
        <is>
          <t>Not Run</t>
        </is>
      </c>
      <c r="M87" s="15" t="inlineStr"/>
      <c r="N87" s="14" t="inlineStr"/>
      <c r="O87" s="15" t="inlineStr"/>
      <c r="P87" s="15" t="inlineStr"/>
      <c r="Q87" s="16" t="inlineStr">
        <is>
          <t>ch06/Domain H</t>
        </is>
      </c>
    </row>
    <row r="88" ht="45" customHeight="1">
      <c r="A88" s="18" t="inlineStr">
        <is>
          <t>S05-T016</t>
        </is>
      </c>
      <c r="B88" s="19" t="inlineStr">
        <is>
          <t>S05 — CAMPUS TPO &amp; STAFF</t>
        </is>
      </c>
      <c r="C88" s="19" t="inlineStr">
        <is>
          <t>Export Audit Logs CSV</t>
        </is>
      </c>
      <c r="D88" s="20" t="inlineStr">
        <is>
          <t>/campus/audit-logs</t>
        </is>
      </c>
      <c r="E88" s="19" t="inlineStr">
        <is>
          <t>TPO Admin</t>
        </is>
      </c>
      <c r="F88" s="19" t="inlineStr">
        <is>
          <t>On audit logs page</t>
        </is>
      </c>
      <c r="G88" s="21" t="inlineStr">
        <is>
          <t>1. Open /campus/audit-logs
2. Click 'Export Audit Logs CSV'</t>
        </is>
      </c>
      <c r="H88" s="21" t="inlineStr">
        <is>
          <t>exportAuditLogs compiles system access logs into CSV format and triggers browser download.</t>
        </is>
      </c>
      <c r="I88" s="21" t="inlineStr">
        <is>
          <t>1. confirm the URL bar shows https://aivilabs.com (production)
2. Check audit_logs collection</t>
        </is>
      </c>
      <c r="J88" s="18" t="inlineStr">
        <is>
          <t>P2</t>
        </is>
      </c>
      <c r="K88" s="18" t="inlineStr">
        <is>
          <t>Production</t>
        </is>
      </c>
      <c r="L88" s="18" t="inlineStr">
        <is>
          <t>Not Run</t>
        </is>
      </c>
      <c r="M88" s="19" t="inlineStr"/>
      <c r="N88" s="18" t="inlineStr"/>
      <c r="O88" s="19" t="inlineStr"/>
      <c r="P88" s="19" t="inlineStr"/>
      <c r="Q88" s="20" t="inlineStr">
        <is>
          <t>ch06/Domain H</t>
        </is>
      </c>
    </row>
    <row r="89" ht="45" customHeight="1">
      <c r="A89" s="14" t="inlineStr">
        <is>
          <t>S05-T017</t>
        </is>
      </c>
      <c r="B89" s="15" t="inlineStr">
        <is>
          <t>S05 — CAMPUS TPO &amp; STAFF</t>
        </is>
      </c>
      <c r="C89" s="15" t="inlineStr">
        <is>
          <t>Invite Department Coordinator</t>
        </is>
      </c>
      <c r="D89" s="16" t="inlineStr">
        <is>
          <t>/campus/staff</t>
        </is>
      </c>
      <c r="E89" s="15" t="inlineStr">
        <is>
          <t>TPO Admin</t>
        </is>
      </c>
      <c r="F89" s="15" t="inlineStr">
        <is>
          <t>On staff page</t>
        </is>
      </c>
      <c r="G89" s="17" t="inlineStr">
        <is>
          <t>1. Open /campus/staff -&gt; Click 'Invite Staff'
2. Enter Name 'Prof. Rajesh Kumar', Email 'coordinator.ece@demo.aivilabs.com', Branch Scope ['ECE']
3. Submit invitation</t>
        </is>
      </c>
      <c r="H89" s="17" t="inlineStr">
        <is>
          <t>inviteCoordinator provisions coordinator account, sets custom claims { role: 'coordinator', tenantId: 'demo-sunrise', branchScope: ['ECE'] }, and sends invite email.</t>
        </is>
      </c>
      <c r="I89" s="17" t="inlineStr">
        <is>
          <t>1. confirm the URL bar shows https://aivilabs.com (production)
2. Check inviteCoordinator function in index.ts</t>
        </is>
      </c>
      <c r="J89" s="14" t="inlineStr">
        <is>
          <t>P1</t>
        </is>
      </c>
      <c r="K89" s="14" t="inlineStr">
        <is>
          <t>Production</t>
        </is>
      </c>
      <c r="L89" s="14" t="inlineStr">
        <is>
          <t>Not Run</t>
        </is>
      </c>
      <c r="M89" s="15" t="inlineStr"/>
      <c r="N89" s="14" t="inlineStr"/>
      <c r="O89" s="15" t="inlineStr"/>
      <c r="P89" s="15" t="inlineStr"/>
      <c r="Q89" s="16" t="inlineStr">
        <is>
          <t>ch03/FLOW-CAMPUS-01, ch06/Domain D</t>
        </is>
      </c>
    </row>
    <row r="90" ht="45" customHeight="1">
      <c r="A90" s="18" t="inlineStr">
        <is>
          <t>S05-T018</t>
        </is>
      </c>
      <c r="B90" s="19" t="inlineStr">
        <is>
          <t>S05 — CAMPUS TPO &amp; STAFF</t>
        </is>
      </c>
      <c r="C90" s="19" t="inlineStr">
        <is>
          <t>Deactivate Staff Coordinator</t>
        </is>
      </c>
      <c r="D90" s="20" t="inlineStr">
        <is>
          <t>/campus/staff</t>
        </is>
      </c>
      <c r="E90" s="19" t="inlineStr">
        <is>
          <t>TPO Admin</t>
        </is>
      </c>
      <c r="F90" s="19" t="inlineStr">
        <is>
          <t>Coordinator active</t>
        </is>
      </c>
      <c r="G90" s="21" t="inlineStr">
        <is>
          <t>1. Locate coordinator in staff directory
2. Click 'Deactivate Staff'</t>
        </is>
      </c>
      <c r="H90" s="21" t="inlineStr">
        <is>
          <t>deactivateStaff updates custom claims to revoke staff role and deactivates profile doc.</t>
        </is>
      </c>
      <c r="I90" s="21" t="inlineStr">
        <is>
          <t>1. confirm the URL bar shows https://aivilabs.com (production)
2. Check deactivateStaff function</t>
        </is>
      </c>
      <c r="J90" s="18" t="inlineStr">
        <is>
          <t>P2</t>
        </is>
      </c>
      <c r="K90" s="18" t="inlineStr">
        <is>
          <t>Production</t>
        </is>
      </c>
      <c r="L90" s="18" t="inlineStr">
        <is>
          <t>Not Run</t>
        </is>
      </c>
      <c r="M90" s="19" t="inlineStr"/>
      <c r="N90" s="18" t="inlineStr"/>
      <c r="O90" s="19" t="inlineStr"/>
      <c r="P90" s="19" t="inlineStr"/>
      <c r="Q90" s="20" t="inlineStr">
        <is>
          <t>ch06/Domain D</t>
        </is>
      </c>
    </row>
    <row r="91" ht="45" customHeight="1">
      <c r="A91" s="14" t="inlineStr">
        <is>
          <t>S05-T019</t>
        </is>
      </c>
      <c r="B91" s="15" t="inlineStr">
        <is>
          <t>S05 — CAMPUS TPO &amp; STAFF</t>
        </is>
      </c>
      <c r="C91" s="15" t="inlineStr">
        <is>
          <t>Campus Billing Invoices</t>
        </is>
      </c>
      <c r="D91" s="16" t="inlineStr">
        <is>
          <t>/campus/billing</t>
        </is>
      </c>
      <c r="E91" s="15" t="inlineStr">
        <is>
          <t>TPO Admin</t>
        </is>
      </c>
      <c r="F91" s="15" t="inlineStr">
        <is>
          <t>On billing page</t>
        </is>
      </c>
      <c r="G91" s="17" t="inlineStr">
        <is>
          <t>1. Open /campus/billing</t>
        </is>
      </c>
      <c r="H91" s="17" t="inlineStr">
        <is>
          <t>Displays current seat usage (242 / 3000), subscription tier ('Pro Plan'), and historical billing invoices list.</t>
        </is>
      </c>
      <c r="I91" s="17" t="inlineStr">
        <is>
          <t>1. confirm the URL bar shows https://aivilabs.com (production)
2. Check billing_invoices collection</t>
        </is>
      </c>
      <c r="J91" s="14" t="inlineStr">
        <is>
          <t>P2</t>
        </is>
      </c>
      <c r="K91" s="14" t="inlineStr">
        <is>
          <t>Production</t>
        </is>
      </c>
      <c r="L91" s="14" t="inlineStr">
        <is>
          <t>Not Run</t>
        </is>
      </c>
      <c r="M91" s="15" t="inlineStr"/>
      <c r="N91" s="14" t="inlineStr"/>
      <c r="O91" s="15" t="inlineStr"/>
      <c r="P91" s="15" t="inlineStr"/>
      <c r="Q91" s="16" t="inlineStr">
        <is>
          <t>ch04/§1.5</t>
        </is>
      </c>
    </row>
    <row r="92" ht="45" customHeight="1">
      <c r="A92" s="18" t="inlineStr">
        <is>
          <t>S05-T020</t>
        </is>
      </c>
      <c r="B92" s="19" t="inlineStr">
        <is>
          <t>S05 — CAMPUS TPO &amp; STAFF</t>
        </is>
      </c>
      <c r="C92" s="19" t="inlineStr">
        <is>
          <t>Update Tenant Branding</t>
        </is>
      </c>
      <c r="D92" s="20" t="inlineStr">
        <is>
          <t>/campus/settings</t>
        </is>
      </c>
      <c r="E92" s="19" t="inlineStr">
        <is>
          <t>TPO Admin</t>
        </is>
      </c>
      <c r="F92" s="19" t="inlineStr">
        <is>
          <t>On tenant settings</t>
        </is>
      </c>
      <c r="G92" s="21" t="inlineStr">
        <is>
          <t>1. Open /campus/settings
2. Change Accent Color to '#FF6D4A' and update login headline
3. Click 'Save Branding Settings'</t>
        </is>
      </c>
      <c r="H92" s="21" t="inlineStr">
        <is>
          <t>Updates tenant document branding map. Branded login page at /campus/login/demo-sunrise reflects new color and headline.</t>
        </is>
      </c>
      <c r="I92" s="21" t="inlineStr">
        <is>
          <t>1. confirm the URL bar shows https://aivilabs.com (production)
2. Check tenants document branding field</t>
        </is>
      </c>
      <c r="J92" s="18" t="inlineStr">
        <is>
          <t>P1</t>
        </is>
      </c>
      <c r="K92" s="18" t="inlineStr">
        <is>
          <t>Production</t>
        </is>
      </c>
      <c r="L92" s="18" t="inlineStr">
        <is>
          <t>Not Run</t>
        </is>
      </c>
      <c r="M92" s="19" t="inlineStr"/>
      <c r="N92" s="18" t="inlineStr"/>
      <c r="O92" s="19" t="inlineStr"/>
      <c r="P92" s="19" t="inlineStr"/>
      <c r="Q92" s="20" t="inlineStr">
        <is>
          <t>ch01/§1.1, ch04/§1.1</t>
        </is>
      </c>
    </row>
    <row r="93" ht="45" customHeight="1">
      <c r="A93" s="14" t="inlineStr">
        <is>
          <t>S05-T021</t>
        </is>
      </c>
      <c r="B93" s="15" t="inlineStr">
        <is>
          <t>S05 — CAMPUS TPO &amp; STAFF</t>
        </is>
      </c>
      <c r="C93" s="15" t="inlineStr">
        <is>
          <t>Export Bulk Resume ZIP Package</t>
        </is>
      </c>
      <c r="D93" s="16" t="inlineStr">
        <is>
          <t>/campus/vault</t>
        </is>
      </c>
      <c r="E93" s="15" t="inlineStr">
        <is>
          <t>TPO Admin</t>
        </is>
      </c>
      <c r="F93" s="15" t="inlineStr">
        <is>
          <t>Verified resumes exist</t>
        </is>
      </c>
      <c r="G93" s="17" t="inlineStr">
        <is>
          <t>1. On /campus/vault, select branch 'CSE' -&gt; Click 'Export Resume Package (ZIP)'</t>
        </is>
      </c>
      <c r="H93" s="17" t="inlineStr">
        <is>
          <t>exportResumePackage compiles verified student resume PDFs into a single ZIP archive stored in Cloud Storage (/exports/demo-sunrise/...). Returns signed download link.</t>
        </is>
      </c>
      <c r="I93" s="17" t="inlineStr">
        <is>
          <t>1. confirm the URL bar shows https://aivilabs.com (production)
2. Check Storage rules for /exports/ path (ch.10/§2)</t>
        </is>
      </c>
      <c r="J93" s="14" t="inlineStr">
        <is>
          <t>P1</t>
        </is>
      </c>
      <c r="K93" s="14" t="inlineStr">
        <is>
          <t>Production</t>
        </is>
      </c>
      <c r="L93" s="14" t="inlineStr">
        <is>
          <t>Not Run</t>
        </is>
      </c>
      <c r="M93" s="15" t="inlineStr"/>
      <c r="N93" s="14" t="inlineStr"/>
      <c r="O93" s="15" t="inlineStr"/>
      <c r="P93" s="15" t="inlineStr"/>
      <c r="Q93" s="16" t="inlineStr">
        <is>
          <t>ch06/Domain F, ch10/§2</t>
        </is>
      </c>
    </row>
    <row r="94" ht="45" customHeight="1">
      <c r="A94" s="18" t="inlineStr">
        <is>
          <t>S05-T022</t>
        </is>
      </c>
      <c r="B94" s="19" t="inlineStr">
        <is>
          <t>S05 — CAMPUS TPO &amp; STAFF</t>
        </is>
      </c>
      <c r="C94" s="19" t="inlineStr">
        <is>
          <t>Generate Parent Report</t>
        </is>
      </c>
      <c r="D94" s="20" t="inlineStr">
        <is>
          <t>/campus/students</t>
        </is>
      </c>
      <c r="E94" s="19" t="inlineStr">
        <is>
          <t>TPO Admin</t>
        </is>
      </c>
      <c r="F94" s="19" t="inlineStr">
        <is>
          <t>Student selected</t>
        </is>
      </c>
      <c r="G94" s="21" t="inlineStr">
        <is>
          <t>1. Select student -&gt; Click 'Generate Parent Progress Report'</t>
        </is>
      </c>
      <c r="H94" s="21" t="inlineStr">
        <is>
          <t>generateParentProgressReport generates shareable parent report card PDF/link containing student AES, attendance, and placement status.</t>
        </is>
      </c>
      <c r="I94" s="21" t="inlineStr">
        <is>
          <t>1. confirm the URL bar shows https://aivilabs.com (production)
2. Check parent_reports collection</t>
        </is>
      </c>
      <c r="J94" s="18" t="inlineStr">
        <is>
          <t>P2</t>
        </is>
      </c>
      <c r="K94" s="18" t="inlineStr">
        <is>
          <t>Production</t>
        </is>
      </c>
      <c r="L94" s="18" t="inlineStr">
        <is>
          <t>Not Run</t>
        </is>
      </c>
      <c r="M94" s="19" t="inlineStr"/>
      <c r="N94" s="18" t="inlineStr"/>
      <c r="O94" s="19" t="inlineStr"/>
      <c r="P94" s="19" t="inlineStr"/>
      <c r="Q94" s="20" t="inlineStr">
        <is>
          <t>ch06/Domain H</t>
        </is>
      </c>
    </row>
    <row r="95" ht="45" customHeight="1">
      <c r="A95" s="14" t="inlineStr">
        <is>
          <t>S06-T001</t>
        </is>
      </c>
      <c r="B95" s="15" t="inlineStr">
        <is>
          <t>S06 — COORDINATOR BRANCH SCOPE</t>
        </is>
      </c>
      <c r="C95" s="15" t="inlineStr">
        <is>
          <t>Coordinator Login &amp; Scope Check</t>
        </is>
      </c>
      <c r="D95" s="16" t="inlineStr">
        <is>
          <t>/campus/login</t>
        </is>
      </c>
      <c r="E95" s="15" t="inlineStr">
        <is>
          <t>Coordinator CSE</t>
        </is>
      </c>
      <c r="F95" s="15" t="inlineStr">
        <is>
          <t>Logged in as coordinator.cse@demo.aivilabs.com</t>
        </is>
      </c>
      <c r="G95" s="17" t="inlineStr">
        <is>
          <t>1. Log in as coordinator.cse@demo.aivilabs.com
2. Verify custom claims in AuthContext</t>
        </is>
      </c>
      <c r="H95" s="17" t="inlineStr">
        <is>
          <t>AuthContext loads custom claims ({ role: 'coordinator', tenantId: 'demo-sunrise', branchScope: ['CSE'] }).</t>
        </is>
      </c>
      <c r="I95" s="17" t="inlineStr">
        <is>
          <t>1. confirm the URL bar shows https://aivilabs.com (production)
2. Check AuthContext state (ch.05/§2)</t>
        </is>
      </c>
      <c r="J95" s="14" t="inlineStr">
        <is>
          <t>P0</t>
        </is>
      </c>
      <c r="K95" s="14" t="inlineStr">
        <is>
          <t>Production</t>
        </is>
      </c>
      <c r="L95" s="14" t="inlineStr">
        <is>
          <t>Not Run</t>
        </is>
      </c>
      <c r="M95" s="15" t="inlineStr"/>
      <c r="N95" s="14" t="inlineStr"/>
      <c r="O95" s="15" t="inlineStr"/>
      <c r="P95" s="15" t="inlineStr"/>
      <c r="Q95" s="16" t="inlineStr">
        <is>
          <t>ch05/§2</t>
        </is>
      </c>
    </row>
    <row r="96" ht="45" customHeight="1">
      <c r="A96" s="18" t="inlineStr">
        <is>
          <t>S06-T002</t>
        </is>
      </c>
      <c r="B96" s="19" t="inlineStr">
        <is>
          <t>S06 — COORDINATOR BRANCH SCOPE</t>
        </is>
      </c>
      <c r="C96" s="19" t="inlineStr">
        <is>
          <t>View Scoped Branch Students</t>
        </is>
      </c>
      <c r="D96" s="20" t="inlineStr">
        <is>
          <t>/campus/students</t>
        </is>
      </c>
      <c r="E96" s="19" t="inlineStr">
        <is>
          <t>Coordinator CSE</t>
        </is>
      </c>
      <c r="F96" s="19" t="inlineStr">
        <is>
          <t>On students page</t>
        </is>
      </c>
      <c r="G96" s="21" t="inlineStr">
        <is>
          <t>1. Open /campus/students</t>
        </is>
      </c>
      <c r="H96" s="21" t="inlineStr">
        <is>
          <t>Roster displays ONLY CSE branch students (96 students). Non-CSE students (ECE, ME) are hidden.</t>
        </is>
      </c>
      <c r="I96" s="21" t="inlineStr">
        <is>
          <t>1. confirm the URL bar shows https://aivilabs.com (production)
2. Check coordinatorBranchAllowed helper in firestore.rules</t>
        </is>
      </c>
      <c r="J96" s="18" t="inlineStr">
        <is>
          <t>P0</t>
        </is>
      </c>
      <c r="K96" s="18" t="inlineStr">
        <is>
          <t>Production</t>
        </is>
      </c>
      <c r="L96" s="18" t="inlineStr">
        <is>
          <t>Not Run</t>
        </is>
      </c>
      <c r="M96" s="19" t="inlineStr"/>
      <c r="N96" s="18" t="inlineStr"/>
      <c r="O96" s="19" t="inlineStr"/>
      <c r="P96" s="19" t="inlineStr"/>
      <c r="Q96" s="20" t="inlineStr">
        <is>
          <t>ch05/§2, ch10/§1</t>
        </is>
      </c>
    </row>
    <row r="97" ht="45" customHeight="1">
      <c r="A97" s="14" t="inlineStr">
        <is>
          <t>S06-T003</t>
        </is>
      </c>
      <c r="B97" s="15" t="inlineStr">
        <is>
          <t>S06 — COORDINATOR BRANCH SCOPE</t>
        </is>
      </c>
      <c r="C97" s="15" t="inlineStr">
        <is>
          <t>Out-of-Scope Action Error</t>
        </is>
      </c>
      <c r="D97" s="16" t="inlineStr">
        <is>
          <t>/campus/students</t>
        </is>
      </c>
      <c r="E97" s="15" t="inlineStr">
        <is>
          <t>Coordinator CSE</t>
        </is>
      </c>
      <c r="F97" s="15" t="inlineStr">
        <is>
          <t>Attempting out-of-scope access</t>
        </is>
      </c>
      <c r="G97" s="17" t="inlineStr">
        <is>
          <t>1. Attempt to view or modify an ECE student profile directly via API or URL manipulation</t>
        </is>
      </c>
      <c r="H97" s="17" t="inlineStr">
        <is>
          <t>Backend check throws verbatim error: 'Access denied for branch.'</t>
        </is>
      </c>
      <c r="I97" s="17" t="inlineStr">
        <is>
          <t>1. confirm the URL bar shows https://aivilabs.com (production)
2. Check ERR-018 in ch.08
3. Check requireTenantAuth branch validation</t>
        </is>
      </c>
      <c r="J97" s="14" t="inlineStr">
        <is>
          <t>P1</t>
        </is>
      </c>
      <c r="K97" s="14" t="inlineStr">
        <is>
          <t>Production</t>
        </is>
      </c>
      <c r="L97" s="14" t="inlineStr">
        <is>
          <t>Not Run</t>
        </is>
      </c>
      <c r="M97" s="15" t="inlineStr"/>
      <c r="N97" s="14" t="inlineStr"/>
      <c r="O97" s="15" t="inlineStr"/>
      <c r="P97" s="15" t="inlineStr"/>
      <c r="Q97" s="16" t="inlineStr">
        <is>
          <t>ch08/ERR-018</t>
        </is>
      </c>
    </row>
    <row r="98" ht="45" customHeight="1">
      <c r="A98" s="18" t="inlineStr">
        <is>
          <t>S06-T004</t>
        </is>
      </c>
      <c r="B98" s="19" t="inlineStr">
        <is>
          <t>S06 — COORDINATOR BRANCH SCOPE</t>
        </is>
      </c>
      <c r="C98" s="19" t="inlineStr">
        <is>
          <t>Restricted Staff Management Access</t>
        </is>
      </c>
      <c r="D98" s="20" t="inlineStr">
        <is>
          <t>/campus/staff</t>
        </is>
      </c>
      <c r="E98" s="19" t="inlineStr">
        <is>
          <t>Coordinator CSE</t>
        </is>
      </c>
      <c r="F98" s="19" t="inlineStr">
        <is>
          <t>Logged in as Coordinator</t>
        </is>
      </c>
      <c r="G98" s="21" t="inlineStr">
        <is>
          <t>1. Attempt to open /campus/staff directly in URL bar</t>
        </is>
      </c>
      <c r="H98" s="21" t="inlineStr">
        <is>
          <t>TenantRoute guard detects role 'coordinator' (staff management requires 'tenant_admin'). Redirects user back to /campus.</t>
        </is>
      </c>
      <c r="I98" s="21" t="inlineStr">
        <is>
          <t>1. confirm the URL bar shows https://aivilabs.com (production)
2. Check TenantRoute permissions matrix (ch.05/§5)</t>
        </is>
      </c>
      <c r="J98" s="18" t="inlineStr">
        <is>
          <t>P1</t>
        </is>
      </c>
      <c r="K98" s="18" t="inlineStr">
        <is>
          <t>Production</t>
        </is>
      </c>
      <c r="L98" s="18" t="inlineStr">
        <is>
          <t>Not Run</t>
        </is>
      </c>
      <c r="M98" s="19" t="inlineStr"/>
      <c r="N98" s="18" t="inlineStr"/>
      <c r="O98" s="19" t="inlineStr"/>
      <c r="P98" s="19" t="inlineStr"/>
      <c r="Q98" s="20" t="inlineStr">
        <is>
          <t>ch05/§5</t>
        </is>
      </c>
    </row>
    <row r="99" ht="45" customHeight="1">
      <c r="A99" s="14" t="inlineStr">
        <is>
          <t>S06-T005</t>
        </is>
      </c>
      <c r="B99" s="15" t="inlineStr">
        <is>
          <t>S06 — COORDINATOR BRANCH SCOPE</t>
        </is>
      </c>
      <c r="C99" s="15" t="inlineStr">
        <is>
          <t>Restricted Campus Billing Access</t>
        </is>
      </c>
      <c r="D99" s="16" t="inlineStr">
        <is>
          <t>/campus/billing</t>
        </is>
      </c>
      <c r="E99" s="15" t="inlineStr">
        <is>
          <t>Coordinator CSE</t>
        </is>
      </c>
      <c r="F99" s="15" t="inlineStr">
        <is>
          <t>Logged in as Coordinator</t>
        </is>
      </c>
      <c r="G99" s="17" t="inlineStr">
        <is>
          <t>1. Attempt to open /campus/billing directly in URL bar</t>
        </is>
      </c>
      <c r="H99" s="17" t="inlineStr">
        <is>
          <t>TenantRoute guard detects role 'coordinator' (billing requires 'tenant_admin'). Redirects user back to /campus.</t>
        </is>
      </c>
      <c r="I99" s="17" t="inlineStr">
        <is>
          <t>1. confirm the URL bar shows https://aivilabs.com (production)
2. Check TenantRoute permissions matrix (ch.05/§5)</t>
        </is>
      </c>
      <c r="J99" s="14" t="inlineStr">
        <is>
          <t>P1</t>
        </is>
      </c>
      <c r="K99" s="14" t="inlineStr">
        <is>
          <t>Production</t>
        </is>
      </c>
      <c r="L99" s="14" t="inlineStr">
        <is>
          <t>Not Run</t>
        </is>
      </c>
      <c r="M99" s="15" t="inlineStr"/>
      <c r="N99" s="14" t="inlineStr"/>
      <c r="O99" s="15" t="inlineStr"/>
      <c r="P99" s="15" t="inlineStr"/>
      <c r="Q99" s="16" t="inlineStr">
        <is>
          <t>ch05/§5</t>
        </is>
      </c>
    </row>
    <row r="100" ht="45" customHeight="1">
      <c r="A100" s="18" t="inlineStr">
        <is>
          <t>S06-T006</t>
        </is>
      </c>
      <c r="B100" s="19" t="inlineStr">
        <is>
          <t>S06 — COORDINATOR BRANCH SCOPE</t>
        </is>
      </c>
      <c r="C100" s="19" t="inlineStr">
        <is>
          <t>Scoped Drive Shortlisting</t>
        </is>
      </c>
      <c r="D100" s="20" t="inlineStr">
        <is>
          <t>/campus/drives</t>
        </is>
      </c>
      <c r="E100" s="19" t="inlineStr">
        <is>
          <t>Coordinator CSE</t>
        </is>
      </c>
      <c r="F100" s="19" t="inlineStr">
        <is>
          <t>On drives page</t>
        </is>
      </c>
      <c r="G100" s="21" t="inlineStr">
        <is>
          <t>1. Open /campus/drives
2. Filter drives for CSE branch</t>
        </is>
      </c>
      <c r="H100" s="21" t="inlineStr">
        <is>
          <t>Coordinator can view and run AI shortlists ONLY for drives allowing the 'CSE' branch.</t>
        </is>
      </c>
      <c r="I100" s="21" t="inlineStr">
        <is>
          <t>1. confirm the URL bar shows https://aivilabs.com (production)
2. Check drive allowedBranches matching branchScope</t>
        </is>
      </c>
      <c r="J100" s="18" t="inlineStr">
        <is>
          <t>P1</t>
        </is>
      </c>
      <c r="K100" s="18" t="inlineStr">
        <is>
          <t>Production</t>
        </is>
      </c>
      <c r="L100" s="18" t="inlineStr">
        <is>
          <t>Not Run</t>
        </is>
      </c>
      <c r="M100" s="19" t="inlineStr"/>
      <c r="N100" s="18" t="inlineStr"/>
      <c r="O100" s="19" t="inlineStr"/>
      <c r="P100" s="19" t="inlineStr"/>
      <c r="Q100" s="20" t="inlineStr">
        <is>
          <t>ch03/FLOW-CAMPUS-03</t>
        </is>
      </c>
    </row>
    <row r="101" ht="45" customHeight="1">
      <c r="A101" s="14" t="inlineStr">
        <is>
          <t>S07-T001</t>
        </is>
      </c>
      <c r="B101" s="15" t="inlineStr">
        <is>
          <t>S07 — CAMPUS STUDENT</t>
        </is>
      </c>
      <c r="C101" s="15" t="inlineStr">
        <is>
          <t>Student Campus Dashboard</t>
        </is>
      </c>
      <c r="D101" s="16" t="inlineStr">
        <is>
          <t>/campus</t>
        </is>
      </c>
      <c r="E101" s="15" t="inlineStr">
        <is>
          <t>Student 1</t>
        </is>
      </c>
      <c r="F101" s="15" t="inlineStr">
        <is>
          <t>Logged in as student1@demo.aivilabs.com</t>
        </is>
      </c>
      <c r="G101" s="17" t="inlineStr">
        <is>
          <t>1. Log in as student1@demo.aivilabs.com
2. Navigate to /campus</t>
        </is>
      </c>
      <c r="H101" s="17" t="inlineStr">
        <is>
          <t>Student view of campus portal loads displaying personal AES score, active placement drives, assigned sprints, and announcements.</t>
        </is>
      </c>
      <c r="I101" s="17" t="inlineStr">
        <is>
          <t>1. confirm the URL bar shows https://aivilabs.com (production)
2. Check student profile tenant association</t>
        </is>
      </c>
      <c r="J101" s="14" t="inlineStr">
        <is>
          <t>P0</t>
        </is>
      </c>
      <c r="K101" s="14" t="inlineStr">
        <is>
          <t>Production</t>
        </is>
      </c>
      <c r="L101" s="14" t="inlineStr">
        <is>
          <t>Not Run</t>
        </is>
      </c>
      <c r="M101" s="15" t="inlineStr"/>
      <c r="N101" s="14" t="inlineStr"/>
      <c r="O101" s="15" t="inlineStr"/>
      <c r="P101" s="15" t="inlineStr"/>
      <c r="Q101" s="16" t="inlineStr">
        <is>
          <t>ch03/FLOW-CAMPUS-04</t>
        </is>
      </c>
    </row>
    <row r="102" ht="45" customHeight="1">
      <c r="A102" s="18" t="inlineStr">
        <is>
          <t>S07-T002</t>
        </is>
      </c>
      <c r="B102" s="19" t="inlineStr">
        <is>
          <t>S07 — CAMPUS STUDENT</t>
        </is>
      </c>
      <c r="C102" s="19" t="inlineStr">
        <is>
          <t>DPDP Consent Modal Check</t>
        </is>
      </c>
      <c r="D102" s="20" t="inlineStr">
        <is>
          <t>/campus</t>
        </is>
      </c>
      <c r="E102" s="19" t="inlineStr">
        <is>
          <t>Student Opt-Out</t>
        </is>
      </c>
      <c r="F102" s="19" t="inlineStr">
        <is>
          <t>Student with dpdpConsent: false</t>
        </is>
      </c>
      <c r="G102" s="21" t="inlineStr">
        <is>
          <t>1. Log in as student with dpdpConsent: false
2. Observe modal prompt</t>
        </is>
      </c>
      <c r="H102" s="21" t="inlineStr">
        <is>
          <t>DPDP Privacy Consent Modal pops up explaining data usage rights under India DPDP Act. Requires explicit acceptance before AI features unlock.</t>
        </is>
      </c>
      <c r="I102" s="21" t="inlineStr">
        <is>
          <t>1. confirm the URL bar shows https://aivilabs.com (production)
2. Check DpdpConsentModal component</t>
        </is>
      </c>
      <c r="J102" s="18" t="inlineStr">
        <is>
          <t>P1</t>
        </is>
      </c>
      <c r="K102" s="18" t="inlineStr">
        <is>
          <t>Production</t>
        </is>
      </c>
      <c r="L102" s="18" t="inlineStr">
        <is>
          <t>Not Run</t>
        </is>
      </c>
      <c r="M102" s="19" t="inlineStr"/>
      <c r="N102" s="18" t="inlineStr"/>
      <c r="O102" s="19" t="inlineStr"/>
      <c r="P102" s="19" t="inlineStr"/>
      <c r="Q102" s="20" t="inlineStr">
        <is>
          <t>ch03/FLOW-CAMPUS-04</t>
        </is>
      </c>
    </row>
    <row r="103" ht="45" customHeight="1">
      <c r="A103" s="14" t="inlineStr">
        <is>
          <t>S07-T003</t>
        </is>
      </c>
      <c r="B103" s="15" t="inlineStr">
        <is>
          <t>S07 — CAMPUS STUDENT</t>
        </is>
      </c>
      <c r="C103" s="15" t="inlineStr">
        <is>
          <t>DPDP Consent Error Block</t>
        </is>
      </c>
      <c r="D103" s="16" t="inlineStr">
        <is>
          <t>/campus/interviews</t>
        </is>
      </c>
      <c r="E103" s="15" t="inlineStr">
        <is>
          <t>Student Opt-Out</t>
        </is>
      </c>
      <c r="F103" s="15" t="inlineStr">
        <is>
          <t>Consent not accepted</t>
        </is>
      </c>
      <c r="G103" s="17" t="inlineStr">
        <is>
          <t>1. Attempt to launch mock interview without accepting DPDP consent</t>
        </is>
      </c>
      <c r="H103" s="17" t="inlineStr">
        <is>
          <t>Backend check throws verbatim error: 'DPDP consent required before running AI analysis.' Features remain locked.</t>
        </is>
      </c>
      <c r="I103" s="17" t="inlineStr">
        <is>
          <t>1. confirm the URL bar shows https://aivilabs.com (production)
2. Check ERR-016 in ch.08</t>
        </is>
      </c>
      <c r="J103" s="14" t="inlineStr">
        <is>
          <t>P1</t>
        </is>
      </c>
      <c r="K103" s="14" t="inlineStr">
        <is>
          <t>Production</t>
        </is>
      </c>
      <c r="L103" s="14" t="inlineStr">
        <is>
          <t>Not Run</t>
        </is>
      </c>
      <c r="M103" s="15" t="inlineStr"/>
      <c r="N103" s="14" t="inlineStr"/>
      <c r="O103" s="15" t="inlineStr"/>
      <c r="P103" s="15" t="inlineStr"/>
      <c r="Q103" s="16" t="inlineStr">
        <is>
          <t>ch08/ERR-016</t>
        </is>
      </c>
    </row>
    <row r="104" ht="45" customHeight="1">
      <c r="A104" s="18" t="inlineStr">
        <is>
          <t>S07-T004</t>
        </is>
      </c>
      <c r="B104" s="19" t="inlineStr">
        <is>
          <t>S07 — CAMPUS STUDENT</t>
        </is>
      </c>
      <c r="C104" s="19" t="inlineStr">
        <is>
          <t>Accept DPDP Consent</t>
        </is>
      </c>
      <c r="D104" s="20" t="inlineStr">
        <is>
          <t>/campus</t>
        </is>
      </c>
      <c r="E104" s="19" t="inlineStr">
        <is>
          <t>Student Opt-Out</t>
        </is>
      </c>
      <c r="F104" s="19" t="inlineStr">
        <is>
          <t>Consent modal open</t>
        </is>
      </c>
      <c r="G104" s="21" t="inlineStr">
        <is>
          <t>1. On DPDP consent modal, click 'I Accept &amp; Grant Consent'</t>
        </is>
      </c>
      <c r="H104" s="21" t="inlineStr">
        <is>
          <t>acceptDpdpConsent function updates dpdpConsent: true in profile document. Modal closes and AI features unlock instantly.</t>
        </is>
      </c>
      <c r="I104" s="21" t="inlineStr">
        <is>
          <t>1. confirm the URL bar shows https://aivilabs.com (production)
2. Check acceptDpdpConsent function in index.ts</t>
        </is>
      </c>
      <c r="J104" s="18" t="inlineStr">
        <is>
          <t>P1</t>
        </is>
      </c>
      <c r="K104" s="18" t="inlineStr">
        <is>
          <t>Production</t>
        </is>
      </c>
      <c r="L104" s="18" t="inlineStr">
        <is>
          <t>Not Run</t>
        </is>
      </c>
      <c r="M104" s="19" t="inlineStr"/>
      <c r="N104" s="18" t="inlineStr"/>
      <c r="O104" s="19" t="inlineStr"/>
      <c r="P104" s="19" t="inlineStr"/>
      <c r="Q104" s="20" t="inlineStr">
        <is>
          <t>ch06/Domain D</t>
        </is>
      </c>
    </row>
    <row r="105" ht="45" customHeight="1">
      <c r="A105" s="14" t="inlineStr">
        <is>
          <t>S07-T005</t>
        </is>
      </c>
      <c r="B105" s="15" t="inlineStr">
        <is>
          <t>S07 — CAMPUS STUDENT</t>
        </is>
      </c>
      <c r="C105" s="15" t="inlineStr">
        <is>
          <t>View Campus Placement Drives</t>
        </is>
      </c>
      <c r="D105" s="16" t="inlineStr">
        <is>
          <t>/dashboard/drives</t>
        </is>
      </c>
      <c r="E105" s="15" t="inlineStr">
        <is>
          <t>Student 1</t>
        </is>
      </c>
      <c r="F105" s="15" t="inlineStr">
        <is>
          <t>Logged in as Student 1</t>
        </is>
      </c>
      <c r="G105" s="17" t="inlineStr">
        <is>
          <t>1. Open /dashboard/drives</t>
        </is>
      </c>
      <c r="H105" s="17" t="inlineStr">
        <is>
          <t>Displays list of active published drives (e.g. TCS Ninja 2026, Wipro Elite 2026) matching student's branch and CGPA eligibility.</t>
        </is>
      </c>
      <c r="I105" s="17" t="inlineStr">
        <is>
          <t>1. confirm the URL bar shows https://aivilabs.com (production)
2. Check placement_drives collection query</t>
        </is>
      </c>
      <c r="J105" s="14" t="inlineStr">
        <is>
          <t>P1</t>
        </is>
      </c>
      <c r="K105" s="14" t="inlineStr">
        <is>
          <t>Production</t>
        </is>
      </c>
      <c r="L105" s="14" t="inlineStr">
        <is>
          <t>Not Run</t>
        </is>
      </c>
      <c r="M105" s="15" t="inlineStr"/>
      <c r="N105" s="14" t="inlineStr"/>
      <c r="O105" s="15" t="inlineStr"/>
      <c r="P105" s="15" t="inlineStr"/>
      <c r="Q105" s="16" t="inlineStr">
        <is>
          <t>ch03/FLOW-CAMPUS-03</t>
        </is>
      </c>
    </row>
    <row r="106" ht="45" customHeight="1">
      <c r="A106" s="18" t="inlineStr">
        <is>
          <t>S07-T006</t>
        </is>
      </c>
      <c r="B106" s="19" t="inlineStr">
        <is>
          <t>S07 — CAMPUS STUDENT</t>
        </is>
      </c>
      <c r="C106" s="19" t="inlineStr">
        <is>
          <t>Apply for Placement Drive</t>
        </is>
      </c>
      <c r="D106" s="20" t="inlineStr">
        <is>
          <t>/dashboard/drives</t>
        </is>
      </c>
      <c r="E106" s="19" t="inlineStr">
        <is>
          <t>Student 1</t>
        </is>
      </c>
      <c r="F106" s="19" t="inlineStr">
        <is>
          <t>Eligible for drive</t>
        </is>
      </c>
      <c r="G106" s="21" t="inlineStr">
        <is>
          <t>1. Select drive 'TCS Ninja 2026'
2. Click 'Apply for Drive'</t>
        </is>
      </c>
      <c r="H106" s="21" t="inlineStr">
        <is>
          <t>Creates drive_applications document storing student details, enrollment no, CGPA, and stageIndex: 1. Status shows 'Applied'.</t>
        </is>
      </c>
      <c r="I106" s="21" t="inlineStr">
        <is>
          <t>1. confirm the URL bar shows https://aivilabs.com (production)
2. Check drive_applications collection</t>
        </is>
      </c>
      <c r="J106" s="18" t="inlineStr">
        <is>
          <t>P0</t>
        </is>
      </c>
      <c r="K106" s="18" t="inlineStr">
        <is>
          <t>Production</t>
        </is>
      </c>
      <c r="L106" s="18" t="inlineStr">
        <is>
          <t>Not Run</t>
        </is>
      </c>
      <c r="M106" s="19" t="inlineStr"/>
      <c r="N106" s="18" t="inlineStr"/>
      <c r="O106" s="19" t="inlineStr"/>
      <c r="P106" s="19" t="inlineStr"/>
      <c r="Q106" s="20" t="inlineStr">
        <is>
          <t>ch03/FLOW-CAMPUS-03</t>
        </is>
      </c>
    </row>
    <row r="107" ht="45" customHeight="1">
      <c r="A107" s="14" t="inlineStr">
        <is>
          <t>S07-T007</t>
        </is>
      </c>
      <c r="B107" s="15" t="inlineStr">
        <is>
          <t>S07 — CAMPUS STUDENT</t>
        </is>
      </c>
      <c r="C107" s="15" t="inlineStr">
        <is>
          <t>Upload Vault Resume</t>
        </is>
      </c>
      <c r="D107" s="16" t="inlineStr">
        <is>
          <t>/dashboard/vault</t>
        </is>
      </c>
      <c r="E107" s="15" t="inlineStr">
        <is>
          <t>Student 1</t>
        </is>
      </c>
      <c r="F107" s="15" t="inlineStr">
        <is>
          <t>On vault page</t>
        </is>
      </c>
      <c r="G107" s="17" t="inlineStr">
        <is>
          <t>1. Open /dashboard/vault
2. Drag &amp; drop resume PDF
3. Click 'Submit to Campus Vault'</t>
        </is>
      </c>
      <c r="H107" s="17" t="inlineStr">
        <is>
          <t>submitVaultResume uploads PDF to Storage (/tenants/demo-sunrise/resumes/...) and creates resume_vault doc with status 'submitted'.</t>
        </is>
      </c>
      <c r="I107" s="17" t="inlineStr">
        <is>
          <t>1. confirm the URL bar shows https://aivilabs.com (production)
2. Check submitVaultResume function in index.ts</t>
        </is>
      </c>
      <c r="J107" s="14" t="inlineStr">
        <is>
          <t>P0</t>
        </is>
      </c>
      <c r="K107" s="14" t="inlineStr">
        <is>
          <t>Production</t>
        </is>
      </c>
      <c r="L107" s="14" t="inlineStr">
        <is>
          <t>Not Run</t>
        </is>
      </c>
      <c r="M107" s="15" t="inlineStr"/>
      <c r="N107" s="14" t="inlineStr"/>
      <c r="O107" s="15" t="inlineStr"/>
      <c r="P107" s="15" t="inlineStr"/>
      <c r="Q107" s="16" t="inlineStr">
        <is>
          <t>ch03/FLOW-CAMPUS-01, ch06/Domain F</t>
        </is>
      </c>
    </row>
    <row r="108" ht="45" customHeight="1">
      <c r="A108" s="18" t="inlineStr">
        <is>
          <t>S07-T008</t>
        </is>
      </c>
      <c r="B108" s="19" t="inlineStr">
        <is>
          <t>S07 — CAMPUS STUDENT</t>
        </is>
      </c>
      <c r="C108" s="19" t="inlineStr">
        <is>
          <t>Vernacular Mock Interview (Text)</t>
        </is>
      </c>
      <c r="D108" s="20" t="inlineStr">
        <is>
          <t>/campus/interviews</t>
        </is>
      </c>
      <c r="E108" s="19" t="inlineStr">
        <is>
          <t>Student 1</t>
        </is>
      </c>
      <c r="F108" s="19" t="inlineStr">
        <is>
          <t>Consent accepted</t>
        </is>
      </c>
      <c r="G108" s="21" t="inlineStr">
        <is>
          <t>1. Open /campus/interviews
2. Select Mode 'Text', Language 'English', Target Role 'Software Engineer'
3. Click 'Start Mock Interview'
4. Answer 5 turns and click 'Finish'</t>
        </is>
      </c>
      <c r="H108" s="21" t="inlineStr">
        <is>
          <t>Completes full 5-turn interview. finishMockInterview computes overall score, technical rating, fluency rating, and feedback summary.</t>
        </is>
      </c>
      <c r="I108" s="21" t="inlineStr">
        <is>
          <t>1. confirm the URL bar shows https://aivilabs.com (production)
2. Check startMockInterview and finishMockInterview in index.ts</t>
        </is>
      </c>
      <c r="J108" s="18" t="inlineStr">
        <is>
          <t>P0</t>
        </is>
      </c>
      <c r="K108" s="18" t="inlineStr">
        <is>
          <t>Production</t>
        </is>
      </c>
      <c r="L108" s="18" t="inlineStr">
        <is>
          <t>Not Run</t>
        </is>
      </c>
      <c r="M108" s="19" t="inlineStr"/>
      <c r="N108" s="18" t="inlineStr"/>
      <c r="O108" s="19" t="inlineStr"/>
      <c r="P108" s="19" t="inlineStr"/>
      <c r="Q108" s="20" t="inlineStr">
        <is>
          <t>ch03/FLOW-CAMPUS-04</t>
        </is>
      </c>
    </row>
    <row r="109" ht="45" customHeight="1">
      <c r="A109" s="14" t="inlineStr">
        <is>
          <t>S07-T009</t>
        </is>
      </c>
      <c r="B109" s="15" t="inlineStr">
        <is>
          <t>S07 — CAMPUS STUDENT</t>
        </is>
      </c>
      <c r="C109" s="15" t="inlineStr">
        <is>
          <t>Vernacular Voice Interview (Hindi)</t>
        </is>
      </c>
      <c r="D109" s="16" t="inlineStr">
        <is>
          <t>/campus/interviews</t>
        </is>
      </c>
      <c r="E109" s="15" t="inlineStr">
        <is>
          <t>Student 1</t>
        </is>
      </c>
      <c r="F109" s="15" t="inlineStr">
        <is>
          <t>Mic permissions allowed</t>
        </is>
      </c>
      <c r="G109" s="17" t="inlineStr">
        <is>
          <t>1. Select Mode 'Voice', Language 'Hindi'
2. Click 'Start Mock Interview'
3. Allow mic -&gt; Speak answer in Hindi -&gt; Complete turn</t>
        </is>
      </c>
      <c r="H109" s="17" t="inlineStr">
        <is>
          <t>answerMockInterviewTurn invokes Bhashini / Voice Engine STT to transcribe spoken Hindi audio into text, evaluates turn, and returns next question audio.</t>
        </is>
      </c>
      <c r="I109" s="17" t="inlineStr">
        <is>
          <t>1. confirm the URL bar shows https://aivilabs.com (production)
2. Check voiceEngine provider in functions/src/voice/provider.ts</t>
        </is>
      </c>
      <c r="J109" s="14" t="inlineStr">
        <is>
          <t>P0</t>
        </is>
      </c>
      <c r="K109" s="14" t="inlineStr">
        <is>
          <t>Production</t>
        </is>
      </c>
      <c r="L109" s="14" t="inlineStr">
        <is>
          <t>Not Run</t>
        </is>
      </c>
      <c r="M109" s="15" t="inlineStr"/>
      <c r="N109" s="14" t="inlineStr"/>
      <c r="O109" s="15" t="inlineStr"/>
      <c r="P109" s="15" t="inlineStr"/>
      <c r="Q109" s="16" t="inlineStr">
        <is>
          <t>ch03/FLOW-CAMPUS-04</t>
        </is>
      </c>
    </row>
    <row r="110" ht="45" customHeight="1">
      <c r="A110" s="18" t="inlineStr">
        <is>
          <t>S07-T010</t>
        </is>
      </c>
      <c r="B110" s="19" t="inlineStr">
        <is>
          <t>S07 — CAMPUS STUDENT</t>
        </is>
      </c>
      <c r="C110" s="19" t="inlineStr">
        <is>
          <t>Microphone Denied Error</t>
        </is>
      </c>
      <c r="D110" s="20" t="inlineStr">
        <is>
          <t>/campus/interviews</t>
        </is>
      </c>
      <c r="E110" s="19" t="inlineStr">
        <is>
          <t>Student 1</t>
        </is>
      </c>
      <c r="F110" s="19" t="inlineStr">
        <is>
          <t>Mic permissions DENIED</t>
        </is>
      </c>
      <c r="G110" s="21" t="inlineStr">
        <is>
          <t>1. Select Mode 'Voice'
2. Click 'Start Mock Interview'
3. Explicitly click 'Block' on browser microphone prompt</t>
        </is>
      </c>
      <c r="H110" s="21" t="inlineStr">
        <is>
          <t>Client catches permission rejection. Displays verbatim error alert: 'Microphone access denied. Please enable mic permissions in browser settings to use voice mode.'</t>
        </is>
      </c>
      <c r="I110" s="21" t="inlineStr">
        <is>
          <t>1. confirm the URL bar shows https://aivilabs.com (production)
2. Check ERR-020 in ch.08</t>
        </is>
      </c>
      <c r="J110" s="18" t="inlineStr">
        <is>
          <t>P1</t>
        </is>
      </c>
      <c r="K110" s="18" t="inlineStr">
        <is>
          <t>Production</t>
        </is>
      </c>
      <c r="L110" s="18" t="inlineStr">
        <is>
          <t>Not Run</t>
        </is>
      </c>
      <c r="M110" s="19" t="inlineStr"/>
      <c r="N110" s="18" t="inlineStr"/>
      <c r="O110" s="19" t="inlineStr"/>
      <c r="P110" s="19" t="inlineStr"/>
      <c r="Q110" s="20" t="inlineStr">
        <is>
          <t>ch08/ERR-020</t>
        </is>
      </c>
    </row>
    <row r="111" ht="45" customHeight="1">
      <c r="A111" s="14" t="inlineStr">
        <is>
          <t>S07-T011</t>
        </is>
      </c>
      <c r="B111" s="15" t="inlineStr">
        <is>
          <t>S07 — CAMPUS STUDENT</t>
        </is>
      </c>
      <c r="C111" s="15" t="inlineStr">
        <is>
          <t>Enroll in Prep Sprint</t>
        </is>
      </c>
      <c r="D111" s="16" t="inlineStr">
        <is>
          <t>/campus/sprints</t>
        </is>
      </c>
      <c r="E111" s="15" t="inlineStr">
        <is>
          <t>Student 1</t>
        </is>
      </c>
      <c r="F111" s="15" t="inlineStr">
        <is>
          <t>Sprint active</t>
        </is>
      </c>
      <c r="G111" s="17" t="inlineStr">
        <is>
          <t>1. Open /campus/sprints -&gt; Select assigned sprint 'TCS Prep Sprint'
2. Click 'Enroll in Sprint'</t>
        </is>
      </c>
      <c r="H111" s="17" t="inlineStr">
        <is>
          <t>enrollInSprint creates sprint_enrollments doc. Displays day-by-day task checklist.</t>
        </is>
      </c>
      <c r="I111" s="17" t="inlineStr">
        <is>
          <t>1. confirm the URL bar shows https://aivilabs.com (production)
2. Check enrollInSprint function</t>
        </is>
      </c>
      <c r="J111" s="14" t="inlineStr">
        <is>
          <t>P1</t>
        </is>
      </c>
      <c r="K111" s="14" t="inlineStr">
        <is>
          <t>Production</t>
        </is>
      </c>
      <c r="L111" s="14" t="inlineStr">
        <is>
          <t>Not Run</t>
        </is>
      </c>
      <c r="M111" s="15" t="inlineStr"/>
      <c r="N111" s="14" t="inlineStr"/>
      <c r="O111" s="15" t="inlineStr"/>
      <c r="P111" s="15" t="inlineStr"/>
      <c r="Q111" s="16" t="inlineStr">
        <is>
          <t>ch06/Domain E</t>
        </is>
      </c>
    </row>
    <row r="112" ht="45" customHeight="1">
      <c r="A112" s="18" t="inlineStr">
        <is>
          <t>S07-T012</t>
        </is>
      </c>
      <c r="B112" s="19" t="inlineStr">
        <is>
          <t>S07 — CAMPUS STUDENT</t>
        </is>
      </c>
      <c r="C112" s="19" t="inlineStr">
        <is>
          <t>Mark Sprint Task Complete</t>
        </is>
      </c>
      <c r="D112" s="20" t="inlineStr">
        <is>
          <t>/campus/sprints</t>
        </is>
      </c>
      <c r="E112" s="19" t="inlineStr">
        <is>
          <t>Student 1</t>
        </is>
      </c>
      <c r="F112" s="19" t="inlineStr">
        <is>
          <t>Enrolled in sprint</t>
        </is>
      </c>
      <c r="G112" s="21" t="inlineStr">
        <is>
          <t>1. On sprint task card, check off Day 1 task 'Run Job Fit Analysis'
2. Click 'Mark Task Done'</t>
        </is>
      </c>
      <c r="H112" s="21" t="inlineStr">
        <is>
          <t>markSprintTaskDone updates task completion array in sprint_enrollments doc. Progress bar advances.</t>
        </is>
      </c>
      <c r="I112" s="21" t="inlineStr">
        <is>
          <t>1. confirm the URL bar shows https://aivilabs.com (production)
2. Check markSprintTaskDone function</t>
        </is>
      </c>
      <c r="J112" s="18" t="inlineStr">
        <is>
          <t>P2</t>
        </is>
      </c>
      <c r="K112" s="18" t="inlineStr">
        <is>
          <t>Production</t>
        </is>
      </c>
      <c r="L112" s="18" t="inlineStr">
        <is>
          <t>Not Run</t>
        </is>
      </c>
      <c r="M112" s="19" t="inlineStr"/>
      <c r="N112" s="18" t="inlineStr"/>
      <c r="O112" s="19" t="inlineStr"/>
      <c r="P112" s="19" t="inlineStr"/>
      <c r="Q112" s="20" t="inlineStr">
        <is>
          <t>ch06/Domain E</t>
        </is>
      </c>
    </row>
    <row r="113" ht="45" customHeight="1">
      <c r="A113" s="14" t="inlineStr">
        <is>
          <t>S07-T013</t>
        </is>
      </c>
      <c r="B113" s="15" t="inlineStr">
        <is>
          <t>S07 — CAMPUS STUDENT</t>
        </is>
      </c>
      <c r="C113" s="15" t="inlineStr">
        <is>
          <t>View Campus Announcements</t>
        </is>
      </c>
      <c r="D113" s="16" t="inlineStr">
        <is>
          <t>/campus</t>
        </is>
      </c>
      <c r="E113" s="15" t="inlineStr">
        <is>
          <t>Student 1</t>
        </is>
      </c>
      <c r="F113" s="15" t="inlineStr">
        <is>
          <t>On campus dashboard</t>
        </is>
      </c>
      <c r="G113" s="17" t="inlineStr">
        <is>
          <t>1. Observe 'Announcements' feed on campus dashboard</t>
        </is>
      </c>
      <c r="H113" s="17" t="inlineStr">
        <is>
          <t>Displays active institutional announcements (e.g. 'TCS Drive Drive Briefing at 4 PM'). Student can click 'Mark Read'.</t>
        </is>
      </c>
      <c r="I113" s="17" t="inlineStr">
        <is>
          <t>1. confirm the URL bar shows https://aivilabs.com (production)
2. Check campus_announcements collection</t>
        </is>
      </c>
      <c r="J113" s="14" t="inlineStr">
        <is>
          <t>P2</t>
        </is>
      </c>
      <c r="K113" s="14" t="inlineStr">
        <is>
          <t>Production</t>
        </is>
      </c>
      <c r="L113" s="14" t="inlineStr">
        <is>
          <t>Not Run</t>
        </is>
      </c>
      <c r="M113" s="15" t="inlineStr"/>
      <c r="N113" s="14" t="inlineStr"/>
      <c r="O113" s="15" t="inlineStr"/>
      <c r="P113" s="15" t="inlineStr"/>
      <c r="Q113" s="16" t="inlineStr">
        <is>
          <t>ch04/§1.5</t>
        </is>
      </c>
    </row>
    <row r="114" ht="45" customHeight="1">
      <c r="A114" s="18" t="inlineStr">
        <is>
          <t>S07-T014</t>
        </is>
      </c>
      <c r="B114" s="19" t="inlineStr">
        <is>
          <t>S07 — CAMPUS STUDENT</t>
        </is>
      </c>
      <c r="C114" s="19" t="inlineStr">
        <is>
          <t>Export Drive ICS Calendar</t>
        </is>
      </c>
      <c r="D114" s="20" t="inlineStr">
        <is>
          <t>/campus/calendar</t>
        </is>
      </c>
      <c r="E114" s="19" t="inlineStr">
        <is>
          <t>Student 1</t>
        </is>
      </c>
      <c r="F114" s="19" t="inlineStr">
        <is>
          <t>On calendar page</t>
        </is>
      </c>
      <c r="G114" s="21" t="inlineStr">
        <is>
          <t>1. Open /campus/calendar -&gt; Select drive event
2. Click 'Export to iCal (.ics)'</t>
        </is>
      </c>
      <c r="H114" s="21" t="inlineStr">
        <is>
          <t>getEventIcsFile generates standard .ics calendar file and triggers browser download.</t>
        </is>
      </c>
      <c r="I114" s="21" t="inlineStr">
        <is>
          <t>1. confirm the URL bar shows https://aivilabs.com (production)
2. Check getEventIcsFile function</t>
        </is>
      </c>
      <c r="J114" s="18" t="inlineStr">
        <is>
          <t>P3</t>
        </is>
      </c>
      <c r="K114" s="18" t="inlineStr">
        <is>
          <t>Production</t>
        </is>
      </c>
      <c r="L114" s="18" t="inlineStr">
        <is>
          <t>Not Run</t>
        </is>
      </c>
      <c r="M114" s="19" t="inlineStr"/>
      <c r="N114" s="18" t="inlineStr"/>
      <c r="O114" s="19" t="inlineStr"/>
      <c r="P114" s="19" t="inlineStr"/>
      <c r="Q114" s="20" t="inlineStr">
        <is>
          <t>ch06/Domain H</t>
        </is>
      </c>
    </row>
    <row r="115" ht="45" customHeight="1">
      <c r="A115" s="14" t="inlineStr">
        <is>
          <t>S07-T015</t>
        </is>
      </c>
      <c r="B115" s="15" t="inlineStr">
        <is>
          <t>S07 — CAMPUS STUDENT</t>
        </is>
      </c>
      <c r="C115" s="15" t="inlineStr">
        <is>
          <t>Restricted Staff Directory Access</t>
        </is>
      </c>
      <c r="D115" s="16" t="inlineStr">
        <is>
          <t>/campus/students</t>
        </is>
      </c>
      <c r="E115" s="15" t="inlineStr">
        <is>
          <t>Student 1</t>
        </is>
      </c>
      <c r="F115" s="15" t="inlineStr">
        <is>
          <t>Logged in as Student</t>
        </is>
      </c>
      <c r="G115" s="17" t="inlineStr">
        <is>
          <t>1. Attempt to open /campus/students directly in URL bar</t>
        </is>
      </c>
      <c r="H115" s="17" t="inlineStr">
        <is>
          <t>TenantRoute guard detects role 'student'. Redirects student back to /campus.</t>
        </is>
      </c>
      <c r="I115" s="17" t="inlineStr">
        <is>
          <t>1. confirm the URL bar shows https://aivilabs.com (production)
2. Check TenantRoute permissions matrix (ch.05/§5)</t>
        </is>
      </c>
      <c r="J115" s="14" t="inlineStr">
        <is>
          <t>P1</t>
        </is>
      </c>
      <c r="K115" s="14" t="inlineStr">
        <is>
          <t>Production</t>
        </is>
      </c>
      <c r="L115" s="14" t="inlineStr">
        <is>
          <t>Not Run</t>
        </is>
      </c>
      <c r="M115" s="15" t="inlineStr"/>
      <c r="N115" s="14" t="inlineStr"/>
      <c r="O115" s="15" t="inlineStr"/>
      <c r="P115" s="15" t="inlineStr"/>
      <c r="Q115" s="16" t="inlineStr">
        <is>
          <t>ch05/§5</t>
        </is>
      </c>
    </row>
    <row r="116" ht="45" customHeight="1">
      <c r="A116" s="18" t="inlineStr">
        <is>
          <t>S07-T016</t>
        </is>
      </c>
      <c r="B116" s="19" t="inlineStr">
        <is>
          <t>S07 — CAMPUS STUDENT</t>
        </is>
      </c>
      <c r="C116" s="19" t="inlineStr">
        <is>
          <t>Restricted Import Wizard Access</t>
        </is>
      </c>
      <c r="D116" s="20" t="inlineStr">
        <is>
          <t>/campus/import</t>
        </is>
      </c>
      <c r="E116" s="19" t="inlineStr">
        <is>
          <t>Student 1</t>
        </is>
      </c>
      <c r="F116" s="19" t="inlineStr">
        <is>
          <t>Logged in as Student</t>
        </is>
      </c>
      <c r="G116" s="21" t="inlineStr">
        <is>
          <t>1. Attempt to open /campus/import directly in URL bar</t>
        </is>
      </c>
      <c r="H116" s="21" t="inlineStr">
        <is>
          <t>TenantRoute guard detects role 'student'. Redirects student back to /campus.</t>
        </is>
      </c>
      <c r="I116" s="21" t="inlineStr">
        <is>
          <t>1. confirm the URL bar shows https://aivilabs.com (production)
2. Check TenantRoute permissions matrix (ch.05/§5)</t>
        </is>
      </c>
      <c r="J116" s="18" t="inlineStr">
        <is>
          <t>P1</t>
        </is>
      </c>
      <c r="K116" s="18" t="inlineStr">
        <is>
          <t>Production</t>
        </is>
      </c>
      <c r="L116" s="18" t="inlineStr">
        <is>
          <t>Not Run</t>
        </is>
      </c>
      <c r="M116" s="19" t="inlineStr"/>
      <c r="N116" s="18" t="inlineStr"/>
      <c r="O116" s="19" t="inlineStr"/>
      <c r="P116" s="19" t="inlineStr"/>
      <c r="Q116" s="20" t="inlineStr">
        <is>
          <t>ch05/§5</t>
        </is>
      </c>
    </row>
    <row r="117" ht="45" customHeight="1">
      <c r="A117" s="14" t="inlineStr">
        <is>
          <t>S08-T001</t>
        </is>
      </c>
      <c r="B117" s="15" t="inlineStr">
        <is>
          <t>S08 — PUBLIC &amp; MARKETING</t>
        </is>
      </c>
      <c r="C117" s="15" t="inlineStr">
        <is>
          <t>Landing Page Render</t>
        </is>
      </c>
      <c r="D117" s="16" t="inlineStr">
        <is>
          <t>/</t>
        </is>
      </c>
      <c r="E117" s="15" t="inlineStr">
        <is>
          <t>Unauthenticated</t>
        </is>
      </c>
      <c r="F117" s="15" t="inlineStr">
        <is>
          <t>Browser open</t>
        </is>
      </c>
      <c r="G117" s="17" t="inlineStr">
        <is>
          <t>1. Load https://aivilabs.com/</t>
        </is>
      </c>
      <c r="H117" s="17" t="inlineStr">
        <is>
          <t>Main product landing page loads. Renders hero headline, feature grid, pricing table, and global footer.</t>
        </is>
      </c>
      <c r="I117" s="17" t="inlineStr">
        <is>
          <t>1. confirm the URL bar shows https://aivilabs.com (production)
2. Check Landing.tsx component</t>
        </is>
      </c>
      <c r="J117" s="14" t="inlineStr">
        <is>
          <t>P0</t>
        </is>
      </c>
      <c r="K117" s="14" t="inlineStr">
        <is>
          <t>Production</t>
        </is>
      </c>
      <c r="L117" s="14" t="inlineStr">
        <is>
          <t>Not Run</t>
        </is>
      </c>
      <c r="M117" s="15" t="inlineStr"/>
      <c r="N117" s="14" t="inlineStr"/>
      <c r="O117" s="15" t="inlineStr"/>
      <c r="P117" s="15" t="inlineStr"/>
      <c r="Q117" s="16" t="inlineStr">
        <is>
          <t>ch02/Route-1</t>
        </is>
      </c>
    </row>
    <row r="118" ht="45" customHeight="1">
      <c r="A118" s="18" t="inlineStr">
        <is>
          <t>S08-T002</t>
        </is>
      </c>
      <c r="B118" s="19" t="inlineStr">
        <is>
          <t>S08 — PUBLIC &amp; MARKETING</t>
        </is>
      </c>
      <c r="C118" s="19" t="inlineStr">
        <is>
          <t>About Page</t>
        </is>
      </c>
      <c r="D118" s="20" t="inlineStr">
        <is>
          <t>/about</t>
        </is>
      </c>
      <c r="E118" s="19" t="inlineStr">
        <is>
          <t>Unauthenticated</t>
        </is>
      </c>
      <c r="F118" s="19" t="inlineStr">
        <is>
          <t>Browser open</t>
        </is>
      </c>
      <c r="G118" s="21" t="inlineStr">
        <is>
          <t>1. Click 'About Us' link in global footer or navigate to /about</t>
        </is>
      </c>
      <c r="H118" s="21" t="inlineStr">
        <is>
          <t>About page loads under PublicPageShell displaying company vision, core metrics, and leadership team.</t>
        </is>
      </c>
      <c r="I118" s="21" t="inlineStr">
        <is>
          <t>1. confirm the URL bar shows https://aivilabs.com (production)
2. Check About.tsx component</t>
        </is>
      </c>
      <c r="J118" s="18" t="inlineStr">
        <is>
          <t>P2</t>
        </is>
      </c>
      <c r="K118" s="18" t="inlineStr">
        <is>
          <t>Production</t>
        </is>
      </c>
      <c r="L118" s="18" t="inlineStr">
        <is>
          <t>Not Run</t>
        </is>
      </c>
      <c r="M118" s="19" t="inlineStr"/>
      <c r="N118" s="18" t="inlineStr"/>
      <c r="O118" s="19" t="inlineStr"/>
      <c r="P118" s="19" t="inlineStr"/>
      <c r="Q118" s="20" t="inlineStr">
        <is>
          <t>ch02/Route-5</t>
        </is>
      </c>
    </row>
    <row r="119" ht="45" customHeight="1">
      <c r="A119" s="14" t="inlineStr">
        <is>
          <t>S08-T003</t>
        </is>
      </c>
      <c r="B119" s="15" t="inlineStr">
        <is>
          <t>S08 — PUBLIC &amp; MARKETING</t>
        </is>
      </c>
      <c r="C119" s="15" t="inlineStr">
        <is>
          <t>How It Works Page</t>
        </is>
      </c>
      <c r="D119" s="16" t="inlineStr">
        <is>
          <t>/how-it-works</t>
        </is>
      </c>
      <c r="E119" s="15" t="inlineStr">
        <is>
          <t>Unauthenticated</t>
        </is>
      </c>
      <c r="F119" s="15" t="inlineStr">
        <is>
          <t>Browser open</t>
        </is>
      </c>
      <c r="G119" s="17" t="inlineStr">
        <is>
          <t>1. Click 'How It Works' in header navigation or navigate to /how-it-works</t>
        </is>
      </c>
      <c r="H119" s="17" t="inlineStr">
        <is>
          <t>Page renders detailed 4-step AI analysis pipeline explanation with visual diagrams.</t>
        </is>
      </c>
      <c r="I119" s="17" t="inlineStr">
        <is>
          <t>1. confirm the URL bar shows https://aivilabs.com (production)
2. Check HowItWorks.tsx component</t>
        </is>
      </c>
      <c r="J119" s="14" t="inlineStr">
        <is>
          <t>P2</t>
        </is>
      </c>
      <c r="K119" s="14" t="inlineStr">
        <is>
          <t>Production</t>
        </is>
      </c>
      <c r="L119" s="14" t="inlineStr">
        <is>
          <t>Not Run</t>
        </is>
      </c>
      <c r="M119" s="15" t="inlineStr"/>
      <c r="N119" s="14" t="inlineStr"/>
      <c r="O119" s="15" t="inlineStr"/>
      <c r="P119" s="15" t="inlineStr"/>
      <c r="Q119" s="16" t="inlineStr">
        <is>
          <t>ch02/Route-6</t>
        </is>
      </c>
    </row>
    <row r="120" ht="45" customHeight="1">
      <c r="A120" s="18" t="inlineStr">
        <is>
          <t>S08-T004</t>
        </is>
      </c>
      <c r="B120" s="19" t="inlineStr">
        <is>
          <t>S08 — PUBLIC &amp; MARKETING</t>
        </is>
      </c>
      <c r="C120" s="19" t="inlineStr">
        <is>
          <t>What Is AIVI Page</t>
        </is>
      </c>
      <c r="D120" s="20" t="inlineStr">
        <is>
          <t>/what-is-aivi</t>
        </is>
      </c>
      <c r="E120" s="19" t="inlineStr">
        <is>
          <t>Unauthenticated</t>
        </is>
      </c>
      <c r="F120" s="19" t="inlineStr">
        <is>
          <t>Browser open</t>
        </is>
      </c>
      <c r="G120" s="21" t="inlineStr">
        <is>
          <t>1. Navigate to /what-is-aivi</t>
        </is>
      </c>
      <c r="H120" s="21" t="inlineStr">
        <is>
          <t>Page renders conceptual overview of Career Intelligence OS vs traditional ATS keyword matchers.</t>
        </is>
      </c>
      <c r="I120" s="21" t="inlineStr">
        <is>
          <t>1. confirm the URL bar shows https://aivilabs.com (production)
2. Check WhatIsAivi.tsx component</t>
        </is>
      </c>
      <c r="J120" s="18" t="inlineStr">
        <is>
          <t>P3</t>
        </is>
      </c>
      <c r="K120" s="18" t="inlineStr">
        <is>
          <t>Production</t>
        </is>
      </c>
      <c r="L120" s="18" t="inlineStr">
        <is>
          <t>Not Run</t>
        </is>
      </c>
      <c r="M120" s="19" t="inlineStr"/>
      <c r="N120" s="18" t="inlineStr"/>
      <c r="O120" s="19" t="inlineStr"/>
      <c r="P120" s="19" t="inlineStr"/>
      <c r="Q120" s="20" t="inlineStr">
        <is>
          <t>ch02/Route-7</t>
        </is>
      </c>
    </row>
    <row r="121" ht="45" customHeight="1">
      <c r="A121" s="14" t="inlineStr">
        <is>
          <t>S08-T005</t>
        </is>
      </c>
      <c r="B121" s="15" t="inlineStr">
        <is>
          <t>S08 — PUBLIC &amp; MARKETING</t>
        </is>
      </c>
      <c r="C121" s="15" t="inlineStr">
        <is>
          <t>AI Resume Builder Landing</t>
        </is>
      </c>
      <c r="D121" s="16" t="inlineStr">
        <is>
          <t>/ai-resume-builder</t>
        </is>
      </c>
      <c r="E121" s="15" t="inlineStr">
        <is>
          <t>Unauthenticated</t>
        </is>
      </c>
      <c r="F121" s="15" t="inlineStr">
        <is>
          <t>Browser open</t>
        </is>
      </c>
      <c r="G121" s="17" t="inlineStr">
        <is>
          <t>1. Navigate to /ai-resume-builder</t>
        </is>
      </c>
      <c r="H121" s="17" t="inlineStr">
        <is>
          <t>Public landing page loads displaying resume template previews and 'Build Resume Now' CTA button.</t>
        </is>
      </c>
      <c r="I121" s="17" t="inlineStr">
        <is>
          <t>1. confirm the URL bar shows https://aivilabs.com (production)
2. Check AIResumeBuilderPage.tsx</t>
        </is>
      </c>
      <c r="J121" s="14" t="inlineStr">
        <is>
          <t>P2</t>
        </is>
      </c>
      <c r="K121" s="14" t="inlineStr">
        <is>
          <t>Production</t>
        </is>
      </c>
      <c r="L121" s="14" t="inlineStr">
        <is>
          <t>Not Run</t>
        </is>
      </c>
      <c r="M121" s="15" t="inlineStr"/>
      <c r="N121" s="14" t="inlineStr"/>
      <c r="O121" s="15" t="inlineStr"/>
      <c r="P121" s="15" t="inlineStr"/>
      <c r="Q121" s="16" t="inlineStr">
        <is>
          <t>ch02/Route-8</t>
        </is>
      </c>
    </row>
    <row r="122" ht="45" customHeight="1">
      <c r="A122" s="18" t="inlineStr">
        <is>
          <t>S08-T006</t>
        </is>
      </c>
      <c r="B122" s="19" t="inlineStr">
        <is>
          <t>S08 — PUBLIC &amp; MARKETING</t>
        </is>
      </c>
      <c r="C122" s="19" t="inlineStr">
        <is>
          <t>LinkedIn Optimization Landing</t>
        </is>
      </c>
      <c r="D122" s="20" t="inlineStr">
        <is>
          <t>/linkedin-optimization</t>
        </is>
      </c>
      <c r="E122" s="19" t="inlineStr">
        <is>
          <t>Unauthenticated</t>
        </is>
      </c>
      <c r="F122" s="19" t="inlineStr">
        <is>
          <t>Browser open</t>
        </is>
      </c>
      <c r="G122" s="21" t="inlineStr">
        <is>
          <t>1. Navigate to /linkedin-optimization</t>
        </is>
      </c>
      <c r="H122" s="21" t="inlineStr">
        <is>
          <t>Public landing page loads displaying profile SSI optimization steps and 'Optimize Profile' CTA button.</t>
        </is>
      </c>
      <c r="I122" s="21" t="inlineStr">
        <is>
          <t>1. confirm the URL bar shows https://aivilabs.com (production)
2. Check LinkedInOptimizationPage.tsx</t>
        </is>
      </c>
      <c r="J122" s="18" t="inlineStr">
        <is>
          <t>P2</t>
        </is>
      </c>
      <c r="K122" s="18" t="inlineStr">
        <is>
          <t>Production</t>
        </is>
      </c>
      <c r="L122" s="18" t="inlineStr">
        <is>
          <t>Not Run</t>
        </is>
      </c>
      <c r="M122" s="19" t="inlineStr"/>
      <c r="N122" s="18" t="inlineStr"/>
      <c r="O122" s="19" t="inlineStr"/>
      <c r="P122" s="19" t="inlineStr"/>
      <c r="Q122" s="20" t="inlineStr">
        <is>
          <t>ch02/Route-9</t>
        </is>
      </c>
    </row>
    <row r="123" ht="45" customHeight="1">
      <c r="A123" s="14" t="inlineStr">
        <is>
          <t>S08-T007</t>
        </is>
      </c>
      <c r="B123" s="15" t="inlineStr">
        <is>
          <t>S08 — PUBLIC &amp; MARKETING</t>
        </is>
      </c>
      <c r="C123" s="15" t="inlineStr">
        <is>
          <t>Contact Form Submission</t>
        </is>
      </c>
      <c r="D123" s="16" t="inlineStr">
        <is>
          <t>/contact</t>
        </is>
      </c>
      <c r="E123" s="15" t="inlineStr">
        <is>
          <t>Public Visitor</t>
        </is>
      </c>
      <c r="F123" s="15" t="inlineStr">
        <is>
          <t>On contact page</t>
        </is>
      </c>
      <c r="G123" s="17" t="inlineStr">
        <is>
          <t>1. Open /contact
2. Fill Name 'QA Tester', Email 'qa.inquiry@demo.aivilabs.com', Subject 'Demo Inquiry', Message 'Requesting product demo'
3. Click 'Send Message'</t>
        </is>
      </c>
      <c r="H123" s="17" t="inlineStr">
        <is>
          <t>submitContactForm callable function fires. Creates contact_messages doc in Firestore and dispatches notification email. Displays success message: 'Thank you! Your message has been sent.'</t>
        </is>
      </c>
      <c r="I123" s="17" t="inlineStr">
        <is>
          <t>1. confirm the URL bar shows https://aivilabs.com (production)
2. Check submitContactForm function in index.ts</t>
        </is>
      </c>
      <c r="J123" s="14" t="inlineStr">
        <is>
          <t>P1</t>
        </is>
      </c>
      <c r="K123" s="14" t="inlineStr">
        <is>
          <t>Production</t>
        </is>
      </c>
      <c r="L123" s="14" t="inlineStr">
        <is>
          <t>Not Run</t>
        </is>
      </c>
      <c r="M123" s="15" t="inlineStr"/>
      <c r="N123" s="14" t="inlineStr"/>
      <c r="O123" s="15" t="inlineStr"/>
      <c r="P123" s="15" t="inlineStr"/>
      <c r="Q123" s="16" t="inlineStr">
        <is>
          <t>ch03/FLOW-LEAD-01, ch06/Domain I</t>
        </is>
      </c>
    </row>
    <row r="124" ht="45" customHeight="1">
      <c r="A124" s="18" t="inlineStr">
        <is>
          <t>S08-T008</t>
        </is>
      </c>
      <c r="B124" s="19" t="inlineStr">
        <is>
          <t>S08 — PUBLIC &amp; MARKETING</t>
        </is>
      </c>
      <c r="C124" s="19" t="inlineStr">
        <is>
          <t>Privacy Policy Page</t>
        </is>
      </c>
      <c r="D124" s="20" t="inlineStr">
        <is>
          <t>/privacy</t>
        </is>
      </c>
      <c r="E124" s="19" t="inlineStr">
        <is>
          <t>Unauthenticated</t>
        </is>
      </c>
      <c r="F124" s="19" t="inlineStr">
        <is>
          <t>Browser open</t>
        </is>
      </c>
      <c r="G124" s="21" t="inlineStr">
        <is>
          <t>1. Click 'Privacy Policy' in footer or navigate to /privacy</t>
        </is>
      </c>
      <c r="H124" s="21" t="inlineStr">
        <is>
          <t>Privacy policy page loads displaying GDPR &amp; India DPDP Act compliance terms and data retention policies.</t>
        </is>
      </c>
      <c r="I124" s="21" t="inlineStr">
        <is>
          <t>1. confirm the URL bar shows https://aivilabs.com (production)
2. Check Privacy.tsx component</t>
        </is>
      </c>
      <c r="J124" s="18" t="inlineStr">
        <is>
          <t>P3</t>
        </is>
      </c>
      <c r="K124" s="18" t="inlineStr">
        <is>
          <t>Production</t>
        </is>
      </c>
      <c r="L124" s="18" t="inlineStr">
        <is>
          <t>Not Run</t>
        </is>
      </c>
      <c r="M124" s="19" t="inlineStr"/>
      <c r="N124" s="18" t="inlineStr"/>
      <c r="O124" s="19" t="inlineStr"/>
      <c r="P124" s="19" t="inlineStr"/>
      <c r="Q124" s="20" t="inlineStr">
        <is>
          <t>ch02/Route-11</t>
        </is>
      </c>
    </row>
    <row r="125" ht="45" customHeight="1">
      <c r="A125" s="14" t="inlineStr">
        <is>
          <t>S08-T009</t>
        </is>
      </c>
      <c r="B125" s="15" t="inlineStr">
        <is>
          <t>S08 — PUBLIC &amp; MARKETING</t>
        </is>
      </c>
      <c r="C125" s="15" t="inlineStr">
        <is>
          <t>Terms of Service Page</t>
        </is>
      </c>
      <c r="D125" s="16" t="inlineStr">
        <is>
          <t>/terms</t>
        </is>
      </c>
      <c r="E125" s="15" t="inlineStr">
        <is>
          <t>Unauthenticated</t>
        </is>
      </c>
      <c r="F125" s="15" t="inlineStr">
        <is>
          <t>Browser open</t>
        </is>
      </c>
      <c r="G125" s="17" t="inlineStr">
        <is>
          <t>1. Click 'Terms of Service' in footer or navigate to /terms</t>
        </is>
      </c>
      <c r="H125" s="17" t="inlineStr">
        <is>
          <t>Terms of Service page loads displaying user agreement, payment terms, and subscription policies.</t>
        </is>
      </c>
      <c r="I125" s="17" t="inlineStr">
        <is>
          <t>1. confirm the URL bar shows https://aivilabs.com (production)
2. Check Terms.tsx component</t>
        </is>
      </c>
      <c r="J125" s="14" t="inlineStr">
        <is>
          <t>P3</t>
        </is>
      </c>
      <c r="K125" s="14" t="inlineStr">
        <is>
          <t>Production</t>
        </is>
      </c>
      <c r="L125" s="14" t="inlineStr">
        <is>
          <t>Not Run</t>
        </is>
      </c>
      <c r="M125" s="15" t="inlineStr"/>
      <c r="N125" s="14" t="inlineStr"/>
      <c r="O125" s="15" t="inlineStr"/>
      <c r="P125" s="15" t="inlineStr"/>
      <c r="Q125" s="16" t="inlineStr">
        <is>
          <t>ch02/Route-12</t>
        </is>
      </c>
    </row>
    <row r="126" ht="45" customHeight="1">
      <c r="A126" s="18" t="inlineStr">
        <is>
          <t>S08-T010</t>
        </is>
      </c>
      <c r="B126" s="19" t="inlineStr">
        <is>
          <t>S08 — PUBLIC &amp; MARKETING</t>
        </is>
      </c>
      <c r="C126" s="19" t="inlineStr">
        <is>
          <t>Data Processing Addendum Page</t>
        </is>
      </c>
      <c r="D126" s="20" t="inlineStr">
        <is>
          <t>/dpa</t>
        </is>
      </c>
      <c r="E126" s="19" t="inlineStr">
        <is>
          <t>Unauthenticated</t>
        </is>
      </c>
      <c r="F126" s="19" t="inlineStr">
        <is>
          <t>Browser open</t>
        </is>
      </c>
      <c r="G126" s="21" t="inlineStr">
        <is>
          <t>1. Click 'DPA' link or navigate to /dpa</t>
        </is>
      </c>
      <c r="H126" s="21" t="inlineStr">
        <is>
          <t>DPA page loads displaying institutional data processing addendum for educational colleges.</t>
        </is>
      </c>
      <c r="I126" s="21" t="inlineStr">
        <is>
          <t>1. confirm the URL bar shows https://aivilabs.com (production)
2. Check DpaPage.tsx component</t>
        </is>
      </c>
      <c r="J126" s="18" t="inlineStr">
        <is>
          <t>P3</t>
        </is>
      </c>
      <c r="K126" s="18" t="inlineStr">
        <is>
          <t>Production</t>
        </is>
      </c>
      <c r="L126" s="18" t="inlineStr">
        <is>
          <t>Not Run</t>
        </is>
      </c>
      <c r="M126" s="19" t="inlineStr"/>
      <c r="N126" s="18" t="inlineStr"/>
      <c r="O126" s="19" t="inlineStr"/>
      <c r="P126" s="19" t="inlineStr"/>
      <c r="Q126" s="20" t="inlineStr">
        <is>
          <t>ch02/Route-49</t>
        </is>
      </c>
    </row>
    <row r="127" ht="45" customHeight="1">
      <c r="A127" s="14" t="inlineStr">
        <is>
          <t>S08-T011</t>
        </is>
      </c>
      <c r="B127" s="15" t="inlineStr">
        <is>
          <t>S08 — PUBLIC &amp; MARKETING</t>
        </is>
      </c>
      <c r="C127" s="15" t="inlineStr">
        <is>
          <t>For Colleges B2B Landing</t>
        </is>
      </c>
      <c r="D127" s="16" t="inlineStr">
        <is>
          <t>/for-colleges</t>
        </is>
      </c>
      <c r="E127" s="15" t="inlineStr">
        <is>
          <t>Public Visitor</t>
        </is>
      </c>
      <c r="F127" s="15" t="inlineStr">
        <is>
          <t>Browser open</t>
        </is>
      </c>
      <c r="G127" s="17" t="inlineStr">
        <is>
          <t>1. Navigate to /for-colleges</t>
        </is>
      </c>
      <c r="H127" s="17" t="inlineStr">
        <is>
          <t>B2B institutional landing page loads displaying Campus OS features, TPO metrics, NAAC reporting overview, and 'Request Demo' form.</t>
        </is>
      </c>
      <c r="I127" s="17" t="inlineStr">
        <is>
          <t>1. confirm the URL bar shows https://aivilabs.com (production)
2. Check ForCollegesPage.tsx</t>
        </is>
      </c>
      <c r="J127" s="14" t="inlineStr">
        <is>
          <t>P1</t>
        </is>
      </c>
      <c r="K127" s="14" t="inlineStr">
        <is>
          <t>Production</t>
        </is>
      </c>
      <c r="L127" s="14" t="inlineStr">
        <is>
          <t>Not Run</t>
        </is>
      </c>
      <c r="M127" s="15" t="inlineStr"/>
      <c r="N127" s="14" t="inlineStr"/>
      <c r="O127" s="15" t="inlineStr"/>
      <c r="P127" s="15" t="inlineStr"/>
      <c r="Q127" s="16" t="inlineStr">
        <is>
          <t>ch02/Route-50</t>
        </is>
      </c>
    </row>
    <row r="128" ht="45" customHeight="1">
      <c r="A128" s="18" t="inlineStr">
        <is>
          <t>S08-T012</t>
        </is>
      </c>
      <c r="B128" s="19" t="inlineStr">
        <is>
          <t>S08 — PUBLIC &amp; MARKETING</t>
        </is>
      </c>
      <c r="C128" s="19" t="inlineStr">
        <is>
          <t>For Colleges Demo Request</t>
        </is>
      </c>
      <c r="D128" s="20" t="inlineStr">
        <is>
          <t>/for-colleges</t>
        </is>
      </c>
      <c r="E128" s="19" t="inlineStr">
        <is>
          <t>College Dean / TPO</t>
        </is>
      </c>
      <c r="F128" s="19" t="inlineStr">
        <is>
          <t>On for-colleges page</t>
        </is>
      </c>
      <c r="G128" s="21" t="inlineStr">
        <is>
          <t>1. Fill college demo form (College Name, Contact Person, Email, Phone, Student Capacity)
2. Click 'Request Institutional Demo'</t>
        </is>
      </c>
      <c r="H128" s="21" t="inlineStr">
        <is>
          <t>Submits institutional lead inquiry. Displays success modal: 'Thank you! Our institutional team will contact you within 24 hours.'</t>
        </is>
      </c>
      <c r="I128" s="21" t="inlineStr">
        <is>
          <t>1. confirm the URL bar shows https://aivilabs.com (production)
2. Check contact_messages submission handling</t>
        </is>
      </c>
      <c r="J128" s="18" t="inlineStr">
        <is>
          <t>P2</t>
        </is>
      </c>
      <c r="K128" s="18" t="inlineStr">
        <is>
          <t>Production</t>
        </is>
      </c>
      <c r="L128" s="18" t="inlineStr">
        <is>
          <t>Not Run</t>
        </is>
      </c>
      <c r="M128" s="19" t="inlineStr"/>
      <c r="N128" s="18" t="inlineStr"/>
      <c r="O128" s="19" t="inlineStr"/>
      <c r="P128" s="19" t="inlineStr"/>
      <c r="Q128" s="20" t="inlineStr">
        <is>
          <t>ch02/Route-50</t>
        </is>
      </c>
    </row>
    <row r="129" ht="45" customHeight="1">
      <c r="A129" s="14" t="inlineStr">
        <is>
          <t>S08-T013</t>
        </is>
      </c>
      <c r="B129" s="15" t="inlineStr">
        <is>
          <t>S08 — PUBLIC &amp; MARKETING</t>
        </is>
      </c>
      <c r="C129" s="15" t="inlineStr">
        <is>
          <t>Footer Links Verification</t>
        </is>
      </c>
      <c r="D129" s="16" t="inlineStr">
        <is>
          <t>/</t>
        </is>
      </c>
      <c r="E129" s="15" t="inlineStr">
        <is>
          <t>Unauthenticated</t>
        </is>
      </c>
      <c r="F129" s="15" t="inlineStr">
        <is>
          <t>On landing page</t>
        </is>
      </c>
      <c r="G129" s="17" t="inlineStr">
        <is>
          <t>1. Scroll to global footer
2. Click links: About, Features, Pricing, Contact, Privacy, Terms</t>
        </is>
      </c>
      <c r="H129" s="17" t="inlineStr">
        <is>
          <t>All footer navigation links route cleanly to their designated page without console errors or broken 404 links.</t>
        </is>
      </c>
      <c r="I129" s="17" t="inlineStr">
        <is>
          <t>1. confirm the URL bar shows https://aivilabs.com (production)
2. Check GlobalFooter component</t>
        </is>
      </c>
      <c r="J129" s="14" t="inlineStr">
        <is>
          <t>P2</t>
        </is>
      </c>
      <c r="K129" s="14" t="inlineStr">
        <is>
          <t>Production</t>
        </is>
      </c>
      <c r="L129" s="14" t="inlineStr">
        <is>
          <t>Not Run</t>
        </is>
      </c>
      <c r="M129" s="15" t="inlineStr"/>
      <c r="N129" s="14" t="inlineStr"/>
      <c r="O129" s="15" t="inlineStr"/>
      <c r="P129" s="15" t="inlineStr"/>
      <c r="Q129" s="16" t="inlineStr">
        <is>
          <t>ch01/§5</t>
        </is>
      </c>
    </row>
    <row r="130" ht="45" customHeight="1">
      <c r="A130" s="18" t="inlineStr">
        <is>
          <t>S08-T014</t>
        </is>
      </c>
      <c r="B130" s="19" t="inlineStr">
        <is>
          <t>S08 — PUBLIC &amp; MARKETING</t>
        </is>
      </c>
      <c r="C130" s="19" t="inlineStr">
        <is>
          <t>Firebase Auth Action Redirect</t>
        </is>
      </c>
      <c r="D130" s="20" t="inlineStr">
        <is>
          <t>/__/auth/action</t>
        </is>
      </c>
      <c r="E130" s="19" t="inlineStr">
        <is>
          <t>Public Visitor</t>
        </is>
      </c>
      <c r="F130" s="19" t="inlineStr">
        <is>
          <t>Simulated email link ⚠️[FOUNDER-VERIFY]</t>
        </is>
      </c>
      <c r="G130" s="21" t="inlineStr">
        <is>
          <t>1. Access URL https://aivilabs.com/__/auth/action?mode=verifyEmail&amp;oobCode=12345</t>
        </is>
      </c>
      <c r="H130" s="21" t="inlineStr">
        <is>
          <t>⚠️[FOUNDER-VERIFY] Tooling needed to intercept raw HTTP 302 redirect from /__/auth/action to Firebase domain.</t>
        </is>
      </c>
      <c r="I130" s="21" t="inlineStr">
        <is>
          <t>1. confirm the URL bar shows https://aivilabs.com (production)
2. Check .htaccess rewrite rule (ch.01/§3.1)</t>
        </is>
      </c>
      <c r="J130" s="18" t="inlineStr">
        <is>
          <t>P2</t>
        </is>
      </c>
      <c r="K130" s="18" t="inlineStr">
        <is>
          <t>Production</t>
        </is>
      </c>
      <c r="L130" s="18" t="inlineStr">
        <is>
          <t>Not Run</t>
        </is>
      </c>
      <c r="M130" s="19" t="inlineStr"/>
      <c r="N130" s="18" t="inlineStr"/>
      <c r="O130" s="19" t="inlineStr"/>
      <c r="P130" s="19" t="inlineStr"/>
      <c r="Q130" s="20" t="inlineStr">
        <is>
          <t>ch01/§3.1, ch02/§2.2</t>
        </is>
      </c>
    </row>
    <row r="131" ht="45" customHeight="1">
      <c r="A131" s="14" t="inlineStr">
        <is>
          <t>S09-T001</t>
        </is>
      </c>
      <c r="B131" s="15" t="inlineStr">
        <is>
          <t>S09 — SECURITY GUARDS &amp; PERMISSIONS</t>
        </is>
      </c>
      <c r="C131" s="15" t="inlineStr">
        <is>
          <t>Unauthenticated Dashboard Guard</t>
        </is>
      </c>
      <c r="D131" s="16" t="inlineStr">
        <is>
          <t>/dashboard</t>
        </is>
      </c>
      <c r="E131" s="15" t="inlineStr">
        <is>
          <t>Logged Out User</t>
        </is>
      </c>
      <c r="F131" s="15" t="inlineStr">
        <is>
          <t>Clear all session cookies / local storage</t>
        </is>
      </c>
      <c r="G131" s="17" t="inlineStr">
        <is>
          <t>1. Clear browser cookies/storage
2. Attempt to open https://aivilabs.com/dashboard directly</t>
        </is>
      </c>
      <c r="H131" s="17" t="inlineStr">
        <is>
          <t>ProtectedRoute guard blocks access. SPA redirects user immediately to /auth.</t>
        </is>
      </c>
      <c r="I131" s="17" t="inlineStr">
        <is>
          <t>1. confirm the URL bar shows https://aivilabs.com (production)
2. Check ProtectedRoute component (ch.05/§5)</t>
        </is>
      </c>
      <c r="J131" s="14" t="inlineStr">
        <is>
          <t>P0</t>
        </is>
      </c>
      <c r="K131" s="14" t="inlineStr">
        <is>
          <t>Production</t>
        </is>
      </c>
      <c r="L131" s="14" t="inlineStr">
        <is>
          <t>Not Run</t>
        </is>
      </c>
      <c r="M131" s="15" t="inlineStr"/>
      <c r="N131" s="14" t="inlineStr"/>
      <c r="O131" s="15" t="inlineStr"/>
      <c r="P131" s="15" t="inlineStr"/>
      <c r="Q131" s="16" t="inlineStr">
        <is>
          <t>ch05/§5</t>
        </is>
      </c>
    </row>
    <row r="132" ht="45" customHeight="1">
      <c r="A132" s="18" t="inlineStr">
        <is>
          <t>S09-T002</t>
        </is>
      </c>
      <c r="B132" s="19" t="inlineStr">
        <is>
          <t>S09 — SECURITY GUARDS &amp; PERMISSIONS</t>
        </is>
      </c>
      <c r="C132" s="19" t="inlineStr">
        <is>
          <t>Unverified Dashboard Guard</t>
        </is>
      </c>
      <c r="D132" s="20" t="inlineStr">
        <is>
          <t>/dashboard</t>
        </is>
      </c>
      <c r="E132" s="19" t="inlineStr">
        <is>
          <t>Unverified User</t>
        </is>
      </c>
      <c r="F132" s="19" t="inlineStr">
        <is>
          <t>Logged in on unverified account</t>
        </is>
      </c>
      <c r="G132" s="21" t="inlineStr">
        <is>
          <t>1. Log in as unverified user created in S01-T001
2. Attempt to open /dashboard/resume</t>
        </is>
      </c>
      <c r="H132" s="21" t="inlineStr">
        <is>
          <t>ProtectedRoute guard checks emailVerified: false. Redirects user to /verify-email.</t>
        </is>
      </c>
      <c r="I132" s="21" t="inlineStr">
        <is>
          <t>1. confirm the URL bar shows https://aivilabs.com (production)
2. Check ProtectedRoute component (ch.05/§5)</t>
        </is>
      </c>
      <c r="J132" s="18" t="inlineStr">
        <is>
          <t>P0</t>
        </is>
      </c>
      <c r="K132" s="18" t="inlineStr">
        <is>
          <t>Production</t>
        </is>
      </c>
      <c r="L132" s="18" t="inlineStr">
        <is>
          <t>Not Run</t>
        </is>
      </c>
      <c r="M132" s="19" t="inlineStr"/>
      <c r="N132" s="18" t="inlineStr"/>
      <c r="O132" s="19" t="inlineStr"/>
      <c r="P132" s="19" t="inlineStr"/>
      <c r="Q132" s="20" t="inlineStr">
        <is>
          <t>ch05/§5</t>
        </is>
      </c>
    </row>
    <row r="133" ht="45" customHeight="1">
      <c r="A133" s="14" t="inlineStr">
        <is>
          <t>S09-T003</t>
        </is>
      </c>
      <c r="B133" s="15" t="inlineStr">
        <is>
          <t>S09 — SECURITY GUARDS &amp; PERMISSIONS</t>
        </is>
      </c>
      <c r="C133" s="15" t="inlineStr">
        <is>
          <t>B2C User Campus Guard</t>
        </is>
      </c>
      <c r="D133" s="16" t="inlineStr">
        <is>
          <t>/campus</t>
        </is>
      </c>
      <c r="E133" s="15" t="inlineStr">
        <is>
          <t>B2C User (No Tenant)</t>
        </is>
      </c>
      <c r="F133" s="15" t="inlineStr">
        <is>
          <t>Logged in on standard B2C account</t>
        </is>
      </c>
      <c r="G133" s="17" t="inlineStr">
        <is>
          <t>1. Log in as standard B2C user (no tenantId claim)
2. Attempt to navigate to /campus</t>
        </is>
      </c>
      <c r="H133" s="17" t="inlineStr">
        <is>
          <t>TenantRoute guard checks tenantId claim: null. Redirects user to /campus/login or /dashboard.</t>
        </is>
      </c>
      <c r="I133" s="17" t="inlineStr">
        <is>
          <t>1. confirm the URL bar shows https://aivilabs.com (production)
2. Check TenantRoute component (ch.05/§5)</t>
        </is>
      </c>
      <c r="J133" s="14" t="inlineStr">
        <is>
          <t>P0</t>
        </is>
      </c>
      <c r="K133" s="14" t="inlineStr">
        <is>
          <t>Production</t>
        </is>
      </c>
      <c r="L133" s="14" t="inlineStr">
        <is>
          <t>Not Run</t>
        </is>
      </c>
      <c r="M133" s="15" t="inlineStr"/>
      <c r="N133" s="14" t="inlineStr"/>
      <c r="O133" s="15" t="inlineStr"/>
      <c r="P133" s="15" t="inlineStr"/>
      <c r="Q133" s="16" t="inlineStr">
        <is>
          <t>ch05/§5</t>
        </is>
      </c>
    </row>
    <row r="134" ht="45" customHeight="1">
      <c r="A134" s="18" t="inlineStr">
        <is>
          <t>S09-T004</t>
        </is>
      </c>
      <c r="B134" s="19" t="inlineStr">
        <is>
          <t>S09 — SECURITY GUARDS &amp; PERMISSIONS</t>
        </is>
      </c>
      <c r="C134" s="19" t="inlineStr">
        <is>
          <t>Student Staff Guard</t>
        </is>
      </c>
      <c r="D134" s="20" t="inlineStr">
        <is>
          <t>/campus/students</t>
        </is>
      </c>
      <c r="E134" s="19" t="inlineStr">
        <is>
          <t>Student 1</t>
        </is>
      </c>
      <c r="F134" s="19" t="inlineStr">
        <is>
          <t>Logged in as Student</t>
        </is>
      </c>
      <c r="G134" s="21" t="inlineStr">
        <is>
          <t>1. Log in as Student 1
2. Attempt to open /campus/students directly in URL bar</t>
        </is>
      </c>
      <c r="H134" s="21" t="inlineStr">
        <is>
          <t>TenantRoute guard checks role claim: 'student'. Redirects user back to /campus.</t>
        </is>
      </c>
      <c r="I134" s="21" t="inlineStr">
        <is>
          <t>1. confirm the URL bar shows https://aivilabs.com (production)
2. Check TenantRoute component (ch.05/§5)</t>
        </is>
      </c>
      <c r="J134" s="18" t="inlineStr">
        <is>
          <t>P0</t>
        </is>
      </c>
      <c r="K134" s="18" t="inlineStr">
        <is>
          <t>Production</t>
        </is>
      </c>
      <c r="L134" s="18" t="inlineStr">
        <is>
          <t>Not Run</t>
        </is>
      </c>
      <c r="M134" s="19" t="inlineStr"/>
      <c r="N134" s="18" t="inlineStr"/>
      <c r="O134" s="19" t="inlineStr"/>
      <c r="P134" s="19" t="inlineStr"/>
      <c r="Q134" s="20" t="inlineStr">
        <is>
          <t>ch05/§5</t>
        </is>
      </c>
    </row>
    <row r="135" ht="45" customHeight="1">
      <c r="A135" s="14" t="inlineStr">
        <is>
          <t>S09-T005</t>
        </is>
      </c>
      <c r="B135" s="15" t="inlineStr">
        <is>
          <t>S09 — SECURITY GUARDS &amp; PERMISSIONS</t>
        </is>
      </c>
      <c r="C135" s="15" t="inlineStr">
        <is>
          <t>Non-Admin B2C Admin Guard</t>
        </is>
      </c>
      <c r="D135" s="16" t="inlineStr">
        <is>
          <t>/dashboard/admin</t>
        </is>
      </c>
      <c r="E135" s="15" t="inlineStr">
        <is>
          <t>B2C User / Student</t>
        </is>
      </c>
      <c r="F135" s="15" t="inlineStr">
        <is>
          <t>Logged in as non-admin</t>
        </is>
      </c>
      <c r="G135" s="17" t="inlineStr">
        <is>
          <t>1. Log in as B2C user
2. Attempt to open /dashboard/admin directly in URL bar</t>
        </is>
      </c>
      <c r="H135" s="17" t="inlineStr">
        <is>
          <t>AdminRoute guard checks isAdmin: false. Redirects user back to /dashboard.</t>
        </is>
      </c>
      <c r="I135" s="17" t="inlineStr">
        <is>
          <t>1. confirm the URL bar shows https://aivilabs.com (production)
2. Check AdminRoute component (ch.05/§5)</t>
        </is>
      </c>
      <c r="J135" s="14" t="inlineStr">
        <is>
          <t>P0</t>
        </is>
      </c>
      <c r="K135" s="14" t="inlineStr">
        <is>
          <t>Production</t>
        </is>
      </c>
      <c r="L135" s="14" t="inlineStr">
        <is>
          <t>Not Run</t>
        </is>
      </c>
      <c r="M135" s="15" t="inlineStr"/>
      <c r="N135" s="14" t="inlineStr"/>
      <c r="O135" s="15" t="inlineStr"/>
      <c r="P135" s="15" t="inlineStr"/>
      <c r="Q135" s="16" t="inlineStr">
        <is>
          <t>ch05/§5</t>
        </is>
      </c>
    </row>
    <row r="136" ht="45" customHeight="1">
      <c r="A136" s="18" t="inlineStr">
        <is>
          <t>S09-T006</t>
        </is>
      </c>
      <c r="B136" s="19" t="inlineStr">
        <is>
          <t>S09 — SECURITY GUARDS &amp; PERMISSIONS</t>
        </is>
      </c>
      <c r="C136" s="19" t="inlineStr">
        <is>
          <t>Non-Admin Platform Console Guard</t>
        </is>
      </c>
      <c r="D136" s="20" t="inlineStr">
        <is>
          <t>/platform-admin</t>
        </is>
      </c>
      <c r="E136" s="19" t="inlineStr">
        <is>
          <t>TPO Admin</t>
        </is>
      </c>
      <c r="F136" s="19" t="inlineStr">
        <is>
          <t>Logged in as TPO Admin</t>
        </is>
      </c>
      <c r="G136" s="21" t="inlineStr">
        <is>
          <t>1. Log in as tpo.director@demo.aivilabs.com
2. Attempt to open /platform-admin directly in URL bar</t>
        </is>
      </c>
      <c r="H136" s="21" t="inlineStr">
        <is>
          <t>AdminRoute guard checks platform_admin claim: false. Redirects user back to /dashboard.</t>
        </is>
      </c>
      <c r="I136" s="21" t="inlineStr">
        <is>
          <t>1. confirm the URL bar shows https://aivilabs.com (production)
2. Check AdminRoute component (ch.05/§5)</t>
        </is>
      </c>
      <c r="J136" s="18" t="inlineStr">
        <is>
          <t>P0</t>
        </is>
      </c>
      <c r="K136" s="18" t="inlineStr">
        <is>
          <t>Production</t>
        </is>
      </c>
      <c r="L136" s="18" t="inlineStr">
        <is>
          <t>Not Run</t>
        </is>
      </c>
      <c r="M136" s="19" t="inlineStr"/>
      <c r="N136" s="18" t="inlineStr"/>
      <c r="O136" s="19" t="inlineStr"/>
      <c r="P136" s="19" t="inlineStr"/>
      <c r="Q136" s="20" t="inlineStr">
        <is>
          <t>ch05/§5</t>
        </is>
      </c>
    </row>
    <row r="137" ht="45" customHeight="1">
      <c r="A137" s="14" t="inlineStr">
        <is>
          <t>S09-T007</t>
        </is>
      </c>
      <c r="B137" s="15" t="inlineStr">
        <is>
          <t>S09 — SECURITY GUARDS &amp; PERMISSIONS</t>
        </is>
      </c>
      <c r="C137" s="15" t="inlineStr">
        <is>
          <t>Authenticated Auth Route Guard</t>
        </is>
      </c>
      <c r="D137" s="16" t="inlineStr">
        <is>
          <t>/auth</t>
        </is>
      </c>
      <c r="E137" s="15" t="inlineStr">
        <is>
          <t>Student 1</t>
        </is>
      </c>
      <c r="F137" s="15" t="inlineStr">
        <is>
          <t>Logged in user</t>
        </is>
      </c>
      <c r="G137" s="17" t="inlineStr">
        <is>
          <t>1. Log in as Student 1
2. Attempt to navigate to /auth or /login</t>
        </is>
      </c>
      <c r="H137" s="17" t="inlineStr">
        <is>
          <t>Auth component checks user session active. Redirects logged-in user automatically to /dashboard.</t>
        </is>
      </c>
      <c r="I137" s="17" t="inlineStr">
        <is>
          <t>1. confirm the URL bar shows https://aivilabs.com (production)
2. Check Auth.tsx redirect logic</t>
        </is>
      </c>
      <c r="J137" s="14" t="inlineStr">
        <is>
          <t>P2</t>
        </is>
      </c>
      <c r="K137" s="14" t="inlineStr">
        <is>
          <t>Production</t>
        </is>
      </c>
      <c r="L137" s="14" t="inlineStr">
        <is>
          <t>Not Run</t>
        </is>
      </c>
      <c r="M137" s="15" t="inlineStr"/>
      <c r="N137" s="14" t="inlineStr"/>
      <c r="O137" s="15" t="inlineStr"/>
      <c r="P137" s="15" t="inlineStr"/>
      <c r="Q137" s="16" t="inlineStr">
        <is>
          <t>ch02/Route-2</t>
        </is>
      </c>
    </row>
    <row r="138" ht="45" customHeight="1">
      <c r="A138" s="18" t="inlineStr">
        <is>
          <t>S09-T008</t>
        </is>
      </c>
      <c r="B138" s="19" t="inlineStr">
        <is>
          <t>S09 — SECURITY GUARDS &amp; PERMISSIONS</t>
        </is>
      </c>
      <c r="C138" s="19" t="inlineStr">
        <is>
          <t>Direct Deep-Link Incognito Check</t>
        </is>
      </c>
      <c r="D138" s="20" t="inlineStr">
        <is>
          <t>/dashboard/job-fit</t>
        </is>
      </c>
      <c r="E138" s="19" t="inlineStr">
        <is>
          <t>Logged Out User</t>
        </is>
      </c>
      <c r="F138" s="19" t="inlineStr">
        <is>
          <t>Fresh Incognito window</t>
        </is>
      </c>
      <c r="G138" s="21" t="inlineStr">
        <is>
          <t>1. Copy URL https://aivilabs.com/dashboard/job-fit
2. Open fresh Incognito window
3. Paste URL and press Enter</t>
        </is>
      </c>
      <c r="H138" s="21" t="inlineStr">
        <is>
          <t>SPA loads, evaluates auth state: false, and redirects cleanly to /auth without flashing protected user data.</t>
        </is>
      </c>
      <c r="I138" s="21" t="inlineStr">
        <is>
          <t>1. confirm the URL bar shows https://aivilabs.com (production)
2. Check Suspense &amp; PageLoader rendering</t>
        </is>
      </c>
      <c r="J138" s="18" t="inlineStr">
        <is>
          <t>P1</t>
        </is>
      </c>
      <c r="K138" s="18" t="inlineStr">
        <is>
          <t>Production</t>
        </is>
      </c>
      <c r="L138" s="18" t="inlineStr">
        <is>
          <t>Not Run</t>
        </is>
      </c>
      <c r="M138" s="19" t="inlineStr"/>
      <c r="N138" s="18" t="inlineStr"/>
      <c r="O138" s="19" t="inlineStr"/>
      <c r="P138" s="19" t="inlineStr"/>
      <c r="Q138" s="20" t="inlineStr">
        <is>
          <t>ch02/§2.3</t>
        </is>
      </c>
    </row>
    <row r="139" ht="45" customHeight="1">
      <c r="A139" s="14" t="inlineStr">
        <is>
          <t>S09-T009</t>
        </is>
      </c>
      <c r="B139" s="15" t="inlineStr">
        <is>
          <t>S09 — SECURITY GUARDS &amp; PERMISSIONS</t>
        </is>
      </c>
      <c r="C139" s="15" t="inlineStr">
        <is>
          <t>Direct Storage Bucket URL Access</t>
        </is>
      </c>
      <c r="D139" s="16" t="inlineStr">
        <is>
          <t>/tenants/demo-sunrise/resumes/...</t>
        </is>
      </c>
      <c r="E139" s="15" t="inlineStr">
        <is>
          <t>Unauthenticated</t>
        </is>
      </c>
      <c r="F139" s="15" t="inlineStr">
        <is>
          <t>Browser open</t>
        </is>
      </c>
      <c r="G139" s="17" t="inlineStr">
        <is>
          <t>1. Attempt to open a direct Firebase Storage URL for a student resume without auth token</t>
        </is>
      </c>
      <c r="H139" s="17" t="inlineStr">
        <is>
          <t>Cloud Storage security rules block request. Returns HTTP 403 Forbidden.</t>
        </is>
      </c>
      <c r="I139" s="17" t="inlineStr">
        <is>
          <t>1. confirm the URL bar shows https://aivilabs.com (production)
2. Check storage.rules /tenants/ path rule (ch.10/§2)</t>
        </is>
      </c>
      <c r="J139" s="14" t="inlineStr">
        <is>
          <t>P1</t>
        </is>
      </c>
      <c r="K139" s="14" t="inlineStr">
        <is>
          <t>Production</t>
        </is>
      </c>
      <c r="L139" s="14" t="inlineStr">
        <is>
          <t>Not Run</t>
        </is>
      </c>
      <c r="M139" s="15" t="inlineStr"/>
      <c r="N139" s="14" t="inlineStr"/>
      <c r="O139" s="15" t="inlineStr"/>
      <c r="P139" s="15" t="inlineStr"/>
      <c r="Q139" s="16" t="inlineStr">
        <is>
          <t>ch10/§2</t>
        </is>
      </c>
    </row>
    <row r="140" ht="45" customHeight="1">
      <c r="A140" s="18" t="inlineStr">
        <is>
          <t>S09-T010</t>
        </is>
      </c>
      <c r="B140" s="19" t="inlineStr">
        <is>
          <t>S09 — SECURITY GUARDS &amp; PERMISSIONS</t>
        </is>
      </c>
      <c r="C140" s="19" t="inlineStr">
        <is>
          <t>Direct Firestore Client Write Block</t>
        </is>
      </c>
      <c r="D140" s="20" t="inlineStr">
        <is>
          <t>/analysis_results</t>
        </is>
      </c>
      <c r="E140" s="19" t="inlineStr">
        <is>
          <t>Student 1</t>
        </is>
      </c>
      <c r="F140" s="19" t="inlineStr">
        <is>
          <t>Attempting client SDK write</t>
        </is>
      </c>
      <c r="G140" s="21" t="inlineStr">
        <is>
          <t>1. Open Developer Console on /dashboard
2. Attempt direct db.collection('analysis_results').add({...}) via client SDK</t>
        </is>
      </c>
      <c r="H140" s="21" t="inlineStr">
        <is>
          <t>Firestore security rules block write operation (`allow write: if false`). Operation throws permission denied error.</t>
        </is>
      </c>
      <c r="I140" s="21" t="inlineStr">
        <is>
          <t>1. confirm the URL bar shows https://aivilabs.com (production)
2. Check firestore.rules analysis_results write rule</t>
        </is>
      </c>
      <c r="J140" s="18" t="inlineStr">
        <is>
          <t>P0</t>
        </is>
      </c>
      <c r="K140" s="18" t="inlineStr">
        <is>
          <t>Production</t>
        </is>
      </c>
      <c r="L140" s="18" t="inlineStr">
        <is>
          <t>Not Run</t>
        </is>
      </c>
      <c r="M140" s="19" t="inlineStr"/>
      <c r="N140" s="18" t="inlineStr"/>
      <c r="O140" s="19" t="inlineStr"/>
      <c r="P140" s="19" t="inlineStr"/>
      <c r="Q140" s="20" t="inlineStr">
        <is>
          <t>ch10/§1</t>
        </is>
      </c>
    </row>
    <row r="141" ht="45" customHeight="1">
      <c r="A141" s="14" t="inlineStr">
        <is>
          <t>S09-T011</t>
        </is>
      </c>
      <c r="B141" s="15" t="inlineStr">
        <is>
          <t>S09 — SECURITY GUARDS &amp; PERMISSIONS</t>
        </is>
      </c>
      <c r="C141" s="15" t="inlineStr">
        <is>
          <t>Cross-Tenant Data Access Block</t>
        </is>
      </c>
      <c r="D141" s="16" t="inlineStr">
        <is>
          <t>/campus/students</t>
        </is>
      </c>
      <c r="E141" s="15" t="inlineStr">
        <is>
          <t>Tenant Staff (Tenant B)</t>
        </is>
      </c>
      <c r="F141" s="15" t="inlineStr">
        <is>
          <t>Different tenant account ⚠️[FOUNDER-VERIFY]</t>
        </is>
      </c>
      <c r="G141" s="17" t="inlineStr">
        <is>
          <t>1. Log in as staff of Tenant B
2. Attempt to read /profiles where tenantId == 'demo-sunrise'</t>
        </is>
      </c>
      <c r="H141" s="17" t="inlineStr">
        <is>
          <t>⚠️[FOUNDER-VERIFY] Backend security rule test simulating Tenant B staff reading Tenant A profile documents. Enforces hasTenant(tenantId). Access denied.</t>
        </is>
      </c>
      <c r="I141" s="17" t="inlineStr">
        <is>
          <t>1. confirm the URL bar shows https://aivilabs.com (production)
2. Check hasTenant helper in firestore.rules</t>
        </is>
      </c>
      <c r="J141" s="14" t="inlineStr">
        <is>
          <t>P0</t>
        </is>
      </c>
      <c r="K141" s="14" t="inlineStr">
        <is>
          <t>Production</t>
        </is>
      </c>
      <c r="L141" s="14" t="inlineStr">
        <is>
          <t>Not Run</t>
        </is>
      </c>
      <c r="M141" s="15" t="inlineStr"/>
      <c r="N141" s="14" t="inlineStr"/>
      <c r="O141" s="15" t="inlineStr"/>
      <c r="P141" s="15" t="inlineStr"/>
      <c r="Q141" s="16" t="inlineStr">
        <is>
          <t>ch10/§1</t>
        </is>
      </c>
    </row>
    <row r="142" ht="45" customHeight="1">
      <c r="A142" s="18" t="inlineStr">
        <is>
          <t>S09-T012</t>
        </is>
      </c>
      <c r="B142" s="19" t="inlineStr">
        <is>
          <t>S09 — SECURITY GUARDS &amp; PERMISSIONS</t>
        </is>
      </c>
      <c r="C142" s="19" t="inlineStr">
        <is>
          <t>HTTP Security Headers Verification</t>
        </is>
      </c>
      <c r="D142" s="20" t="inlineStr">
        <is>
          <t>/</t>
        </is>
      </c>
      <c r="E142" s="19" t="inlineStr">
        <is>
          <t>Unauthenticated</t>
        </is>
      </c>
      <c r="F142" s="19" t="inlineStr">
        <is>
          <t>DevTools Network Tab open</t>
        </is>
      </c>
      <c r="G142" s="21" t="inlineStr">
        <is>
          <t>1. Open DevTools Network tab -&gt; Inspect main document response headers for https://aivilabs.com/</t>
        </is>
      </c>
      <c r="H142" s="21" t="inlineStr">
        <is>
          <t>Response headers contain: X-Robots-Tag: noindex, nofollow; Strict-Transport-Security; X-Content-Type-Options: nosniff; X-Frame-Options: DENY; Content-Security-Policy.</t>
        </is>
      </c>
      <c r="I142" s="21" t="inlineStr">
        <is>
          <t>1. confirm the URL bar shows https://aivilabs.com (production)
2. Check firebase.json and .htaccess security headers (ch.01/§3)</t>
        </is>
      </c>
      <c r="J142" s="18" t="inlineStr">
        <is>
          <t>P1</t>
        </is>
      </c>
      <c r="K142" s="18" t="inlineStr">
        <is>
          <t>Production</t>
        </is>
      </c>
      <c r="L142" s="18" t="inlineStr">
        <is>
          <t>Not Run</t>
        </is>
      </c>
      <c r="M142" s="19" t="inlineStr"/>
      <c r="N142" s="18" t="inlineStr"/>
      <c r="O142" s="19" t="inlineStr"/>
      <c r="P142" s="19" t="inlineStr"/>
      <c r="Q142" s="20" t="inlineStr">
        <is>
          <t>ch01/§3.1, ch01/§3.2</t>
        </is>
      </c>
    </row>
    <row r="143" ht="45" customHeight="1">
      <c r="A143" s="14" t="inlineStr">
        <is>
          <t>S10-T001</t>
        </is>
      </c>
      <c r="B143" s="15" t="inlineStr">
        <is>
          <t>S10 — PRODUCTION READ-ONLY SMOKE</t>
        </is>
      </c>
      <c r="C143" s="15" t="inlineStr">
        <is>
          <t>Production Home Load</t>
        </is>
      </c>
      <c r="D143" s="16" t="inlineStr">
        <is>
          <t>/</t>
        </is>
      </c>
      <c r="E143" s="15" t="inlineStr">
        <is>
          <t>Unauthenticated</t>
        </is>
      </c>
      <c r="F143" s="15" t="inlineStr">
        <is>
          <t>Browser open</t>
        </is>
      </c>
      <c r="G143" s="17" t="inlineStr">
        <is>
          <t>1. Navigate to https://aivilabs.com/
2. Observe page loading and header navigation</t>
        </is>
      </c>
      <c r="H143" s="17" t="inlineStr">
        <is>
          <t>Production home page loads cleanly. No staging banner present. Production header renders.</t>
        </is>
      </c>
      <c r="I143" s="17" t="inlineStr">
        <is>
          <t>1. confirm the URL bar shows https://aivilabs.com (production)</t>
        </is>
      </c>
      <c r="J143" s="14" t="inlineStr">
        <is>
          <t>P0</t>
        </is>
      </c>
      <c r="K143" s="14" t="inlineStr">
        <is>
          <t>Production</t>
        </is>
      </c>
      <c r="L143" s="14" t="inlineStr">
        <is>
          <t>Not Run</t>
        </is>
      </c>
      <c r="M143" s="15" t="inlineStr"/>
      <c r="N143" s="14" t="inlineStr"/>
      <c r="O143" s="15" t="inlineStr"/>
      <c r="P143" s="15" t="inlineStr"/>
      <c r="Q143" s="16" t="inlineStr">
        <is>
          <t>ch11/§5</t>
        </is>
      </c>
    </row>
    <row r="144" ht="45" customHeight="1">
      <c r="A144" s="18" t="inlineStr">
        <is>
          <t>S10-T002</t>
        </is>
      </c>
      <c r="B144" s="19" t="inlineStr">
        <is>
          <t>S10 — PRODUCTION READ-ONLY SMOKE</t>
        </is>
      </c>
      <c r="C144" s="19" t="inlineStr">
        <is>
          <t>Production For Colleges Load</t>
        </is>
      </c>
      <c r="D144" s="20" t="inlineStr">
        <is>
          <t>/for-colleges</t>
        </is>
      </c>
      <c r="E144" s="19" t="inlineStr">
        <is>
          <t>Unauthenticated</t>
        </is>
      </c>
      <c r="F144" s="19" t="inlineStr">
        <is>
          <t>Browser open</t>
        </is>
      </c>
      <c r="G144" s="21" t="inlineStr">
        <is>
          <t>1. Navigate to https://aivilabs.com/for-colleges</t>
        </is>
      </c>
      <c r="H144" s="21" t="inlineStr">
        <is>
          <t>Institutional B2B landing page loads cleanly. Renders features, metrics, and demo request form.</t>
        </is>
      </c>
      <c r="I144" s="21" t="inlineStr">
        <is>
          <t>1. confirm the URL bar shows https://aivilabs.com (production)</t>
        </is>
      </c>
      <c r="J144" s="18" t="inlineStr">
        <is>
          <t>P1</t>
        </is>
      </c>
      <c r="K144" s="18" t="inlineStr">
        <is>
          <t>Production</t>
        </is>
      </c>
      <c r="L144" s="18" t="inlineStr">
        <is>
          <t>Not Run</t>
        </is>
      </c>
      <c r="M144" s="19" t="inlineStr"/>
      <c r="N144" s="18" t="inlineStr"/>
      <c r="O144" s="19" t="inlineStr"/>
      <c r="P144" s="19" t="inlineStr"/>
      <c r="Q144" s="20" t="inlineStr">
        <is>
          <t>ch11/§5</t>
        </is>
      </c>
    </row>
    <row r="145" ht="45" customHeight="1">
      <c r="A145" s="14" t="inlineStr">
        <is>
          <t>S10-T003</t>
        </is>
      </c>
      <c r="B145" s="15" t="inlineStr">
        <is>
          <t>S10 — PRODUCTION READ-ONLY SMOKE</t>
        </is>
      </c>
      <c r="C145" s="15" t="inlineStr">
        <is>
          <t>Production Public Pages</t>
        </is>
      </c>
      <c r="D145" s="16" t="inlineStr">
        <is>
          <t>/about</t>
        </is>
      </c>
      <c r="E145" s="15" t="inlineStr">
        <is>
          <t>Unauthenticated</t>
        </is>
      </c>
      <c r="F145" s="15" t="inlineStr">
        <is>
          <t>Browser open</t>
        </is>
      </c>
      <c r="G145" s="17" t="inlineStr">
        <is>
          <t>1. Load /about, /how-it-works, /privacy, /terms on production domain</t>
        </is>
      </c>
      <c r="H145" s="17" t="inlineStr">
        <is>
          <t>All public pages render cleanly without console errors or broken assets.</t>
        </is>
      </c>
      <c r="I145" s="17" t="inlineStr">
        <is>
          <t>1. confirm the URL bar shows https://aivilabs.com (production)</t>
        </is>
      </c>
      <c r="J145" s="14" t="inlineStr">
        <is>
          <t>P2</t>
        </is>
      </c>
      <c r="K145" s="14" t="inlineStr">
        <is>
          <t>Production</t>
        </is>
      </c>
      <c r="L145" s="14" t="inlineStr">
        <is>
          <t>Not Run</t>
        </is>
      </c>
      <c r="M145" s="15" t="inlineStr"/>
      <c r="N145" s="14" t="inlineStr"/>
      <c r="O145" s="15" t="inlineStr"/>
      <c r="P145" s="15" t="inlineStr"/>
      <c r="Q145" s="16" t="inlineStr">
        <is>
          <t>ch11/§5</t>
        </is>
      </c>
    </row>
    <row r="146" ht="45" customHeight="1">
      <c r="A146" s="18" t="inlineStr">
        <is>
          <t>S10-T004</t>
        </is>
      </c>
      <c r="B146" s="19" t="inlineStr">
        <is>
          <t>S10 — PRODUCTION READ-ONLY SMOKE</t>
        </is>
      </c>
      <c r="C146" s="19" t="inlineStr">
        <is>
          <t>Production Login Screen</t>
        </is>
      </c>
      <c r="D146" s="20" t="inlineStr">
        <is>
          <t>/auth</t>
        </is>
      </c>
      <c r="E146" s="19" t="inlineStr">
        <is>
          <t>Unauthenticated</t>
        </is>
      </c>
      <c r="F146" s="19" t="inlineStr">
        <is>
          <t>Browser open</t>
        </is>
      </c>
      <c r="G146" s="21" t="inlineStr">
        <is>
          <t>1. Navigate to https://aivilabs.com/auth</t>
        </is>
      </c>
      <c r="H146" s="21" t="inlineStr">
        <is>
          <t>Auth card renders cleanly. DO NOT create fake accounts or run seeder.</t>
        </is>
      </c>
      <c r="I146" s="21" t="inlineStr">
        <is>
          <t>1. confirm the URL bar shows https://aivilabs.com (production)
2. STRICTLY READ-ONLY</t>
        </is>
      </c>
      <c r="J146" s="18" t="inlineStr">
        <is>
          <t>P0</t>
        </is>
      </c>
      <c r="K146" s="18" t="inlineStr">
        <is>
          <t>Production</t>
        </is>
      </c>
      <c r="L146" s="18" t="inlineStr">
        <is>
          <t>Not Run</t>
        </is>
      </c>
      <c r="M146" s="19" t="inlineStr"/>
      <c r="N146" s="18" t="inlineStr"/>
      <c r="O146" s="19" t="inlineStr"/>
      <c r="P146" s="19" t="inlineStr"/>
      <c r="Q146" s="20" t="inlineStr">
        <is>
          <t>ch11/§5</t>
        </is>
      </c>
    </row>
    <row r="147" ht="45" customHeight="1">
      <c r="A147" s="14" t="inlineStr">
        <is>
          <t>S10-T005</t>
        </is>
      </c>
      <c r="B147" s="15" t="inlineStr">
        <is>
          <t>S10 — PRODUCTION READ-ONLY SMOKE</t>
        </is>
      </c>
      <c r="C147" s="15" t="inlineStr">
        <is>
          <t>Production Real User Login</t>
        </is>
      </c>
      <c r="D147" s="16" t="inlineStr">
        <is>
          <t>/auth</t>
        </is>
      </c>
      <c r="E147" s="15" t="inlineStr">
        <is>
          <t>Founder Account Only</t>
        </is>
      </c>
      <c r="F147" s="15" t="inlineStr">
        <is>
          <t>Founder credentials</t>
        </is>
      </c>
      <c r="G147" s="17" t="inlineStr">
        <is>
          <t>1. Founder logs in using official real account on production</t>
        </is>
      </c>
      <c r="H147" s="17" t="inlineStr">
        <is>
          <t>Authentication succeeds. Dashboard loads user's real data.</t>
        </is>
      </c>
      <c r="I147" s="17" t="inlineStr">
        <is>
          <t>1. confirm the URL bar shows https://aivilabs.com (production)
2. FOR FOUNDER USE ONLY</t>
        </is>
      </c>
      <c r="J147" s="14" t="inlineStr">
        <is>
          <t>P0</t>
        </is>
      </c>
      <c r="K147" s="14" t="inlineStr">
        <is>
          <t>Production</t>
        </is>
      </c>
      <c r="L147" s="14" t="inlineStr">
        <is>
          <t>Not Run</t>
        </is>
      </c>
      <c r="M147" s="15" t="inlineStr"/>
      <c r="N147" s="14" t="inlineStr"/>
      <c r="O147" s="15" t="inlineStr"/>
      <c r="P147" s="15" t="inlineStr"/>
      <c r="Q147" s="16" t="inlineStr">
        <is>
          <t>ch11/§5</t>
        </is>
      </c>
    </row>
    <row r="148" ht="45" customHeight="1">
      <c r="A148" s="18" t="inlineStr">
        <is>
          <t>S10-T006</t>
        </is>
      </c>
      <c r="B148" s="19" t="inlineStr">
        <is>
          <t>S10 — PRODUCTION READ-ONLY SMOKE</t>
        </is>
      </c>
      <c r="C148" s="19" t="inlineStr">
        <is>
          <t>Production Dashboard Render</t>
        </is>
      </c>
      <c r="D148" s="20" t="inlineStr">
        <is>
          <t>/dashboard</t>
        </is>
      </c>
      <c r="E148" s="19" t="inlineStr">
        <is>
          <t>Founder Account Only</t>
        </is>
      </c>
      <c r="F148" s="19" t="inlineStr">
        <is>
          <t>Logged in on production</t>
        </is>
      </c>
      <c r="G148" s="21" t="inlineStr">
        <is>
          <t>1. Observe production dashboard home</t>
        </is>
      </c>
      <c r="H148" s="21" t="inlineStr">
        <is>
          <t>Dashboard displays real account metrics. NO test data injected.</t>
        </is>
      </c>
      <c r="I148" s="21" t="inlineStr">
        <is>
          <t>1. confirm the URL bar shows https://aivilabs.com (production)
2. FOR FOUNDER USE ONLY</t>
        </is>
      </c>
      <c r="J148" s="18" t="inlineStr">
        <is>
          <t>P1</t>
        </is>
      </c>
      <c r="K148" s="18" t="inlineStr">
        <is>
          <t>Production</t>
        </is>
      </c>
      <c r="L148" s="18" t="inlineStr">
        <is>
          <t>Not Run</t>
        </is>
      </c>
      <c r="M148" s="19" t="inlineStr"/>
      <c r="N148" s="18" t="inlineStr"/>
      <c r="O148" s="19" t="inlineStr"/>
      <c r="P148" s="19" t="inlineStr"/>
      <c r="Q148" s="20" t="inlineStr">
        <is>
          <t>ch11/§5</t>
        </is>
      </c>
    </row>
    <row r="149" ht="45" customHeight="1">
      <c r="A149" s="14" t="inlineStr">
        <is>
          <t>S10-T007</t>
        </is>
      </c>
      <c r="B149" s="15" t="inlineStr">
        <is>
          <t>S10 — PRODUCTION READ-ONLY SMOKE</t>
        </is>
      </c>
      <c r="C149" s="15" t="inlineStr">
        <is>
          <t>Production Contact Load</t>
        </is>
      </c>
      <c r="D149" s="16" t="inlineStr">
        <is>
          <t>/contact</t>
        </is>
      </c>
      <c r="E149" s="15" t="inlineStr">
        <is>
          <t>Unauthenticated</t>
        </is>
      </c>
      <c r="F149" s="15" t="inlineStr">
        <is>
          <t>Browser open</t>
        </is>
      </c>
      <c r="G149" s="17" t="inlineStr">
        <is>
          <t>1. Navigate to https://aivilabs.com/contact</t>
        </is>
      </c>
      <c r="H149" s="17" t="inlineStr">
        <is>
          <t>Contact page loads cleanly. DO NOT submit test form submissions on production.</t>
        </is>
      </c>
      <c r="I149" s="17" t="inlineStr">
        <is>
          <t>1. confirm the URL bar shows https://aivilabs.com (production)
2. Read-only verification</t>
        </is>
      </c>
      <c r="J149" s="14" t="inlineStr">
        <is>
          <t>P2</t>
        </is>
      </c>
      <c r="K149" s="14" t="inlineStr">
        <is>
          <t>Production</t>
        </is>
      </c>
      <c r="L149" s="14" t="inlineStr">
        <is>
          <t>Not Run</t>
        </is>
      </c>
      <c r="M149" s="15" t="inlineStr"/>
      <c r="N149" s="14" t="inlineStr"/>
      <c r="O149" s="15" t="inlineStr"/>
      <c r="P149" s="15" t="inlineStr"/>
      <c r="Q149" s="16" t="inlineStr">
        <is>
          <t>ch11/§5</t>
        </is>
      </c>
    </row>
    <row r="150" ht="45" customHeight="1">
      <c r="A150" s="18" t="inlineStr">
        <is>
          <t>S10-T008</t>
        </is>
      </c>
      <c r="B150" s="19" t="inlineStr">
        <is>
          <t>S10 — PRODUCTION READ-ONLY SMOKE</t>
        </is>
      </c>
      <c r="C150" s="19" t="inlineStr">
        <is>
          <t>Production Payment Verification</t>
        </is>
      </c>
      <c r="D150" s="20" t="inlineStr">
        <is>
          <t>/dashboard</t>
        </is>
      </c>
      <c r="E150" s="19" t="inlineStr">
        <is>
          <t>Founder Account Only</t>
        </is>
      </c>
      <c r="F150" s="19" t="inlineStr">
        <is>
          <t>⚠️[FOUNDER-VERIFY]</t>
        </is>
      </c>
      <c r="G150" s="21" t="inlineStr">
        <is>
          <t>1. Founder verifies Razorpay Live Mode keys in Firebase project aivi-career console</t>
        </is>
      </c>
      <c r="H150" s="21" t="inlineStr">
        <is>
          <t>⚠️[FOUNDER-VERIFY] Founder verifies Razorpay Live Mode keys (rzp_live_...) in production server secrets. NO test transactions executed on live gateway.</t>
        </is>
      </c>
      <c r="I150" s="21" t="inlineStr">
        <is>
          <t>1. confirm the URL bar shows https://aivilabs.com (production)
2. ⚠️[FOUNDER-VERIFY] Server secrets check</t>
        </is>
      </c>
      <c r="J150" s="18" t="inlineStr">
        <is>
          <t>P0</t>
        </is>
      </c>
      <c r="K150" s="18" t="inlineStr">
        <is>
          <t>Production</t>
        </is>
      </c>
      <c r="L150" s="18" t="inlineStr">
        <is>
          <t>Not Run</t>
        </is>
      </c>
      <c r="M150" s="19" t="inlineStr"/>
      <c r="N150" s="18" t="inlineStr"/>
      <c r="O150" s="19" t="inlineStr"/>
      <c r="P150" s="19" t="inlineStr"/>
      <c r="Q150" s="20" t="inlineStr">
        <is>
          <t>ch11/§5</t>
        </is>
      </c>
    </row>
    <row r="151" ht="45" customHeight="1">
      <c r="A151" s="14" t="inlineStr">
        <is>
          <t>S11-T001</t>
        </is>
      </c>
      <c r="B151" s="15" t="inlineStr">
        <is>
          <t>S11 — CROSS-CUTTING &amp; REGRESSION SPOT CHECKS</t>
        </is>
      </c>
      <c r="C151" s="15" t="inlineStr">
        <is>
          <t>Staging Banner Check (Deprecating / Skipped)</t>
        </is>
      </c>
      <c r="D151" s="16" t="inlineStr">
        <is>
          <t>N/A — No Staging Environment</t>
        </is>
      </c>
      <c r="E151" s="15" t="inlineStr">
        <is>
          <t>Tester</t>
        </is>
      </c>
      <c r="F151" s="15" t="inlineStr">
        <is>
          <t>N/A — Staging environment decommissioned</t>
        </is>
      </c>
      <c r="G151" s="17" t="inlineStr">
        <is>
          <t>1. Staging environment removed. All testing targets Production (aivilabs.com).
2. Skip banner check.</t>
        </is>
      </c>
      <c r="H151" s="17" t="inlineStr">
        <is>
          <t>N/A — no staging environment; skip</t>
        </is>
      </c>
      <c r="I151" s="17" t="inlineStr">
        <is>
          <t>N/A — Staging environment decommissioned.</t>
        </is>
      </c>
      <c r="J151" s="14" t="inlineStr">
        <is>
          <t>P3</t>
        </is>
      </c>
      <c r="K151" s="14" t="inlineStr">
        <is>
          <t>Production</t>
        </is>
      </c>
      <c r="L151" s="14" t="inlineStr">
        <is>
          <t>Skipped</t>
        </is>
      </c>
      <c r="M151" s="15" t="inlineStr"/>
      <c r="N151" s="14" t="inlineStr"/>
      <c r="O151" s="15" t="inlineStr"/>
      <c r="P151" s="15" t="inlineStr"/>
      <c r="Q151" s="16" t="inlineStr">
        <is>
          <t>ch09/§3</t>
        </is>
      </c>
    </row>
    <row r="152" ht="45" customHeight="1">
      <c r="A152" s="18" t="inlineStr">
        <is>
          <t>S11-T002</t>
        </is>
      </c>
      <c r="B152" s="19" t="inlineStr">
        <is>
          <t>S11 — CROSS-CUTTING &amp; REGRESSION SPOT CHECKS</t>
        </is>
      </c>
      <c r="C152" s="19" t="inlineStr">
        <is>
          <t>Feature Flags Checklist Sanity</t>
        </is>
      </c>
      <c r="D152" s="20" t="inlineStr">
        <is>
          <t>System Flags</t>
        </is>
      </c>
      <c r="E152" s="19" t="inlineStr">
        <is>
          <t>Tester</t>
        </is>
      </c>
      <c r="F152" s="19" t="inlineStr">
        <is>
          <t>Codebase inspection</t>
        </is>
      </c>
      <c r="G152" s="21" t="inlineStr">
        <is>
          <t>1. Inspect campusConfig.ts MODULE_FLAGS (core_ai, drives, sprints, voice_hi, vault, accreditation, sso, api, parent_reports)</t>
        </is>
      </c>
      <c r="H152" s="21" t="inlineStr">
        <is>
          <t>All 9 module flags are set to default 'true'. None accidentally flipped off in production build.</t>
        </is>
      </c>
      <c r="I152" s="21" t="inlineStr">
        <is>
          <t>1. confirm the URL bar shows https://aivilabs.com (production)
2. Check MODULE_FLAGS in campusConfig.ts (ch.09/§1)</t>
        </is>
      </c>
      <c r="J152" s="18" t="inlineStr">
        <is>
          <t>P1</t>
        </is>
      </c>
      <c r="K152" s="18" t="inlineStr">
        <is>
          <t>Production</t>
        </is>
      </c>
      <c r="L152" s="18" t="inlineStr">
        <is>
          <t>Not Run</t>
        </is>
      </c>
      <c r="M152" s="19" t="inlineStr"/>
      <c r="N152" s="18" t="inlineStr"/>
      <c r="O152" s="19" t="inlineStr"/>
      <c r="P152" s="19" t="inlineStr"/>
      <c r="Q152" s="20" t="inlineStr">
        <is>
          <t>ch09/§1</t>
        </is>
      </c>
    </row>
    <row r="153" ht="45" customHeight="1">
      <c r="A153" s="14" t="inlineStr">
        <is>
          <t>S11-T003</t>
        </is>
      </c>
      <c r="B153" s="15" t="inlineStr">
        <is>
          <t>S11 — CROSS-CUTTING &amp; REGRESSION SPOT CHECKS</t>
        </is>
      </c>
      <c r="C153" s="15" t="inlineStr">
        <is>
          <t>Mobile Responsive Spot-Check</t>
        </is>
      </c>
      <c r="D153" s="16" t="inlineStr">
        <is>
          <t>/dashboard &amp; /campus</t>
        </is>
      </c>
      <c r="E153" s="15" t="inlineStr">
        <is>
          <t>Tester</t>
        </is>
      </c>
      <c r="F153" s="15" t="inlineStr">
        <is>
          <t>DevTools 375px</t>
        </is>
      </c>
      <c r="G153" s="17" t="inlineStr">
        <is>
          <t>1. Switch DevTools to 375px Mobile View
2. Test navigation on /dashboard and /campus portal</t>
        </is>
      </c>
      <c r="H153" s="17" t="inlineStr">
        <is>
          <t>Dashboard sidebar collapses into accessible mobile drawer. Tables scroll horizontally without breaking screen bounds.</t>
        </is>
      </c>
      <c r="I153" s="17" t="inlineStr">
        <is>
          <t>1. confirm the URL bar shows https://aivilabs.com (production)
2. Check use-mobile hook &amp; Shadcn drawer</t>
        </is>
      </c>
      <c r="J153" s="14" t="inlineStr">
        <is>
          <t>P2</t>
        </is>
      </c>
      <c r="K153" s="14" t="inlineStr">
        <is>
          <t>Production</t>
        </is>
      </c>
      <c r="L153" s="14" t="inlineStr">
        <is>
          <t>Not Run</t>
        </is>
      </c>
      <c r="M153" s="15" t="inlineStr"/>
      <c r="N153" s="14" t="inlineStr"/>
      <c r="O153" s="15" t="inlineStr"/>
      <c r="P153" s="15" t="inlineStr"/>
      <c r="Q153" s="16" t="inlineStr">
        <is>
          <t>ch01/§5</t>
        </is>
      </c>
    </row>
    <row r="154" ht="45" customHeight="1">
      <c r="A154" s="18" t="inlineStr">
        <is>
          <t>S11-T004</t>
        </is>
      </c>
      <c r="B154" s="19" t="inlineStr">
        <is>
          <t>S11 — CROSS-CUTTING &amp; REGRESSION SPOT CHECKS</t>
        </is>
      </c>
      <c r="C154" s="19" t="inlineStr">
        <is>
          <t>Campus Contrast &amp; Readability</t>
        </is>
      </c>
      <c r="D154" s="20" t="inlineStr">
        <is>
          <t>/campus/*</t>
        </is>
      </c>
      <c r="E154" s="19" t="inlineStr">
        <is>
          <t>Tester</t>
        </is>
      </c>
      <c r="F154" s="19" t="inlineStr">
        <is>
          <t>On campus portal</t>
        </is>
      </c>
      <c r="G154" s="21" t="inlineStr">
        <is>
          <t>1. Navigate across /campus dashboard, student directory, and drives pages
2. Inspect text contrast against dark theme background</t>
        </is>
      </c>
      <c r="H154" s="21" t="inlineStr">
        <is>
          <t>All primary text, labels, and badges meet WCAG AA contrast standards. No dark text on dark background defects.</t>
        </is>
      </c>
      <c r="I154" s="21" t="inlineStr">
        <is>
          <t>1. confirm the URL bar shows https://aivilabs.com (production)
2. Check contrastGuard.ts utility</t>
        </is>
      </c>
      <c r="J154" s="18" t="inlineStr">
        <is>
          <t>P2</t>
        </is>
      </c>
      <c r="K154" s="18" t="inlineStr">
        <is>
          <t>Production</t>
        </is>
      </c>
      <c r="L154" s="18" t="inlineStr">
        <is>
          <t>Not Run</t>
        </is>
      </c>
      <c r="M154" s="19" t="inlineStr"/>
      <c r="N154" s="18" t="inlineStr"/>
      <c r="O154" s="19" t="inlineStr"/>
      <c r="P154" s="19" t="inlineStr"/>
      <c r="Q154" s="20" t="inlineStr">
        <is>
          <t>ch01/§5</t>
        </is>
      </c>
    </row>
    <row r="155" ht="45" customHeight="1">
      <c r="A155" s="14" t="inlineStr">
        <is>
          <t>S11-T005</t>
        </is>
      </c>
      <c r="B155" s="15" t="inlineStr">
        <is>
          <t>S11 — CROSS-CUTTING &amp; REGRESSION SPOT CHECKS</t>
        </is>
      </c>
      <c r="C155" s="15" t="inlineStr">
        <is>
          <t>CSV Export Excel Compatibility</t>
        </is>
      </c>
      <c r="D155" s="16" t="inlineStr">
        <is>
          <t>/campus/audit-logs</t>
        </is>
      </c>
      <c r="E155" s="15" t="inlineStr">
        <is>
          <t>Tester</t>
        </is>
      </c>
      <c r="F155" s="15" t="inlineStr">
        <is>
          <t>Export executed</t>
        </is>
      </c>
      <c r="G155" s="17" t="inlineStr">
        <is>
          <t>1. Export Audit Logs CSV or Student Roster CSV
2. Open downloaded .csv file in Microsoft Excel</t>
        </is>
      </c>
      <c r="H155" s="17" t="inlineStr">
        <is>
          <t>CSV opens in Excel cleanly with correct column headers, UTF-8 character encoding, and proper cell line breaks.</t>
        </is>
      </c>
      <c r="I155" s="17" t="inlineStr">
        <is>
          <t>1. confirm the URL bar shows https://aivilabs.com (production)
2. Check CSV formatting in services</t>
        </is>
      </c>
      <c r="J155" s="14" t="inlineStr">
        <is>
          <t>P2</t>
        </is>
      </c>
      <c r="K155" s="14" t="inlineStr">
        <is>
          <t>Production</t>
        </is>
      </c>
      <c r="L155" s="14" t="inlineStr">
        <is>
          <t>Not Run</t>
        </is>
      </c>
      <c r="M155" s="15" t="inlineStr"/>
      <c r="N155" s="14" t="inlineStr"/>
      <c r="O155" s="15" t="inlineStr"/>
      <c r="P155" s="15" t="inlineStr"/>
      <c r="Q155" s="16" t="inlineStr">
        <is>
          <t>ch06/Domain H</t>
        </is>
      </c>
    </row>
    <row r="156" ht="45" customHeight="1">
      <c r="A156" s="18" t="inlineStr">
        <is>
          <t>S11-T006</t>
        </is>
      </c>
      <c r="B156" s="19" t="inlineStr">
        <is>
          <t>S11 — CROSS-CUTTING &amp; REGRESSION SPOT CHECKS</t>
        </is>
      </c>
      <c r="C156" s="19" t="inlineStr">
        <is>
          <t>Large Directory Scroll Performance</t>
        </is>
      </c>
      <c r="D156" s="20" t="inlineStr">
        <is>
          <t>/campus/students</t>
        </is>
      </c>
      <c r="E156" s="19" t="inlineStr">
        <is>
          <t>Tester</t>
        </is>
      </c>
      <c r="F156" s="19" t="inlineStr">
        <is>
          <t>240 students loaded</t>
        </is>
      </c>
      <c r="G156" s="21" t="inlineStr">
        <is>
          <t>1. Open /campus/students with 240 student records loaded
2. Scroll down rapidly to bottom of page</t>
        </is>
      </c>
      <c r="H156" s="21" t="inlineStr">
        <is>
          <t>Page scrolls smoothly without lag, UI freezing, or excessive DOM re-renders.</t>
        </is>
      </c>
      <c r="I156" s="21" t="inlineStr">
        <is>
          <t>1. confirm the URL bar shows https://aivilabs.com (production)
2. Check virtualized list or pagination rendering</t>
        </is>
      </c>
      <c r="J156" s="18" t="inlineStr">
        <is>
          <t>P2</t>
        </is>
      </c>
      <c r="K156" s="18" t="inlineStr">
        <is>
          <t>Production</t>
        </is>
      </c>
      <c r="L156" s="18" t="inlineStr">
        <is>
          <t>Not Run</t>
        </is>
      </c>
      <c r="M156" s="19" t="inlineStr"/>
      <c r="N156" s="18" t="inlineStr"/>
      <c r="O156" s="19" t="inlineStr"/>
      <c r="P156" s="19" t="inlineStr"/>
      <c r="Q156" s="20" t="inlineStr">
        <is>
          <t>ch02/Route-34</t>
        </is>
      </c>
    </row>
    <row r="157" ht="45" customHeight="1">
      <c r="A157" s="14" t="inlineStr">
        <is>
          <t>S11-T007</t>
        </is>
      </c>
      <c r="B157" s="15" t="inlineStr">
        <is>
          <t>S11 — CROSS-CUTTING &amp; REGRESSION SPOT CHECKS</t>
        </is>
      </c>
      <c r="C157" s="15" t="inlineStr">
        <is>
          <t>Console Log Hygiene</t>
        </is>
      </c>
      <c r="D157" s="16" t="inlineStr">
        <is>
          <t>Browser Console</t>
        </is>
      </c>
      <c r="E157" s="15" t="inlineStr">
        <is>
          <t>Tester</t>
        </is>
      </c>
      <c r="F157" s="15" t="inlineStr">
        <is>
          <t>DevTools Console open</t>
        </is>
      </c>
      <c r="G157" s="17" t="inlineStr">
        <is>
          <t>1. Perform auth, resume scoring, and campus navigation
2. Inspect DevTools Console logs</t>
        </is>
      </c>
      <c r="H157" s="17" t="inlineStr">
        <is>
          <t>No uncaught runtime JavaScript exceptions or sensitive secrets/tokens printed in console.</t>
        </is>
      </c>
      <c r="I157" s="17" t="inlineStr">
        <is>
          <t>1. confirm the URL bar shows https://aivilabs.com (production)
2. Check logSafeError in backend &amp; client catch blocks</t>
        </is>
      </c>
      <c r="J157" s="14" t="inlineStr">
        <is>
          <t>P2</t>
        </is>
      </c>
      <c r="K157" s="14" t="inlineStr">
        <is>
          <t>Production</t>
        </is>
      </c>
      <c r="L157" s="14" t="inlineStr">
        <is>
          <t>Not Run</t>
        </is>
      </c>
      <c r="M157" s="15" t="inlineStr"/>
      <c r="N157" s="14" t="inlineStr"/>
      <c r="O157" s="15" t="inlineStr"/>
      <c r="P157" s="15" t="inlineStr"/>
      <c r="Q157" s="16" t="inlineStr">
        <is>
          <t>ch01/§1</t>
        </is>
      </c>
    </row>
    <row r="158" ht="45" customHeight="1">
      <c r="A158" s="18" t="inlineStr">
        <is>
          <t>S11-T008</t>
        </is>
      </c>
      <c r="B158" s="19" t="inlineStr">
        <is>
          <t>S11 — CROSS-CUTTING &amp; REGRESSION SPOT CHECKS</t>
        </is>
      </c>
      <c r="C158" s="19" t="inlineStr">
        <is>
          <t>Browser Refresh State Integrity</t>
        </is>
      </c>
      <c r="D158" s="20" t="inlineStr">
        <is>
          <t>/dashboard/resume</t>
        </is>
      </c>
      <c r="E158" s="19" t="inlineStr">
        <is>
          <t>Student 1</t>
        </is>
      </c>
      <c r="F158" s="19" t="inlineStr">
        <is>
          <t>Analysis displayed</t>
        </is>
      </c>
      <c r="G158" s="21" t="inlineStr">
        <is>
          <t>1. Complete resume scoring analysis
2. Press F5 (Browser Refresh)</t>
        </is>
      </c>
      <c r="H158" s="21" t="inlineStr">
        <is>
          <t>App refreshes cleanly, maintains user session, and re-renders recent analysis from Firestore.</t>
        </is>
      </c>
      <c r="I158" s="21" t="inlineStr">
        <is>
          <t>1. confirm the URL bar shows https://aivilabs.com (production)
2. Check React Query caching &amp; AuthContext init</t>
        </is>
      </c>
      <c r="J158" s="18" t="inlineStr">
        <is>
          <t>P2</t>
        </is>
      </c>
      <c r="K158" s="18" t="inlineStr">
        <is>
          <t>Production</t>
        </is>
      </c>
      <c r="L158" s="18" t="inlineStr">
        <is>
          <t>Not Run</t>
        </is>
      </c>
      <c r="M158" s="19" t="inlineStr"/>
      <c r="N158" s="18" t="inlineStr"/>
      <c r="O158" s="19" t="inlineStr"/>
      <c r="P158" s="19" t="inlineStr"/>
      <c r="Q158" s="20" t="inlineStr">
        <is>
          <t>ch01/§1</t>
        </is>
      </c>
    </row>
  </sheetData>
  <autoFilter ref="A2:Q158"/>
  <mergeCells count="1">
    <mergeCell ref="A1:Q1"/>
  </mergeCells>
  <dataValidations count="3">
    <dataValidation sqref="L3:L158" showDropDown="0" showInputMessage="0" showErrorMessage="0" allowBlank="1" type="list">
      <formula1>"Not Run,Pass,Fail,Blocked,Skipped"</formula1>
    </dataValidation>
    <dataValidation sqref="J3:J158" showDropDown="0" showInputMessage="0" showErrorMessage="0" allowBlank="1" type="list">
      <formula1>"P0,P1,P2,P3"</formula1>
    </dataValidation>
    <dataValidation sqref="K3:K158" showDropDown="0" showInputMessage="0" showErrorMessage="0" allowBlank="1" type="list">
      <formula1>"Production"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45" customWidth="1" min="4" max="4"/>
    <col width="40" customWidth="1" min="5" max="5"/>
    <col width="12" customWidth="1" min="6" max="6"/>
  </cols>
  <sheetData>
    <row r="1" ht="35" customHeight="1">
      <c r="A1" s="1" t="inlineStr">
        <is>
          <t>AIVI CAREER &amp; CAMPUS OS — MASTER ERROR CATALOGUE &amp; QA DIAGNOSIS GUIDE</t>
        </is>
      </c>
    </row>
    <row r="3">
      <c r="A3" s="2" t="inlineStr">
        <is>
          <t>1. Master Error &amp; Message Catalogue (From Chapter 08)</t>
        </is>
      </c>
    </row>
    <row r="4" ht="28" customHeight="1">
      <c r="A4" s="4" t="inlineStr">
        <is>
          <t>Error ID</t>
        </is>
      </c>
      <c r="B4" s="4" t="inlineStr">
        <is>
          <t>Exact Message Text (Verbatim)</t>
        </is>
      </c>
      <c r="C4" s="4" t="inlineStr">
        <is>
          <t>Screen / Component File</t>
        </is>
      </c>
      <c r="D4" s="4" t="inlineStr">
        <is>
          <t>Precise Trigger Condition</t>
        </is>
      </c>
      <c r="E4" s="4" t="inlineStr">
        <is>
          <t>Recommended User Action</t>
        </is>
      </c>
      <c r="F4" s="4" t="inlineStr">
        <is>
          <t>Retryable</t>
        </is>
      </c>
    </row>
    <row r="5" ht="22" customHeight="1">
      <c r="A5" s="22" t="inlineStr">
        <is>
          <t>ERR-001</t>
        </is>
      </c>
      <c r="B5" s="6" t="inlineStr">
        <is>
          <t>An account with this email already exists.</t>
        </is>
      </c>
      <c r="C5" s="5" t="inlineStr">
        <is>
          <t>Auth.tsx</t>
        </is>
      </c>
      <c r="D5" s="5" t="inlineStr">
        <is>
          <t>Signup with email already registered in Firebase Auth</t>
        </is>
      </c>
      <c r="E5" s="5" t="inlineStr">
        <is>
          <t>Click 'Sign In' instead or reset password</t>
        </is>
      </c>
      <c r="F5" s="23" t="inlineStr">
        <is>
          <t>No</t>
        </is>
      </c>
    </row>
    <row r="6" ht="22" customHeight="1">
      <c r="A6" s="24" t="inlineStr">
        <is>
          <t>ERR-002</t>
        </is>
      </c>
      <c r="B6" s="8" t="inlineStr">
        <is>
          <t>Password should be at least 6 characters.</t>
        </is>
      </c>
      <c r="C6" s="7" t="inlineStr">
        <is>
          <t>Auth.tsx</t>
        </is>
      </c>
      <c r="D6" s="7" t="inlineStr">
        <is>
          <t>Signup password string length &lt; 6</t>
        </is>
      </c>
      <c r="E6" s="7" t="inlineStr">
        <is>
          <t>Enter a stronger password (&gt;=6 characters)</t>
        </is>
      </c>
      <c r="F6" s="25" t="inlineStr">
        <is>
          <t>Yes</t>
        </is>
      </c>
    </row>
    <row r="7" ht="22" customHeight="1">
      <c r="A7" s="22" t="inlineStr">
        <is>
          <t>ERR-003</t>
        </is>
      </c>
      <c r="B7" s="6" t="inlineStr">
        <is>
          <t>Invalid email or password.</t>
        </is>
      </c>
      <c r="C7" s="5" t="inlineStr">
        <is>
          <t>Auth.tsx</t>
        </is>
      </c>
      <c r="D7" s="5" t="inlineStr">
        <is>
          <t>Auth sign-in failure (auth/invalid-credential)</t>
        </is>
      </c>
      <c r="E7" s="5" t="inlineStr">
        <is>
          <t>Verify email and password credentials</t>
        </is>
      </c>
      <c r="F7" s="23" t="inlineStr">
        <is>
          <t>Yes</t>
        </is>
      </c>
    </row>
    <row r="8" ht="22" customHeight="1">
      <c r="A8" s="24" t="inlineStr">
        <is>
          <t>ERR-004</t>
        </is>
      </c>
      <c r="B8" s="8" t="inlineStr">
        <is>
          <t>Email verification required.</t>
        </is>
      </c>
      <c r="C8" s="7" t="inlineStr">
        <is>
          <t>ProtectedRoute.tsx</t>
        </is>
      </c>
      <c r="D8" s="7" t="inlineStr">
        <is>
          <t>Authenticated user has emailVerified == false</t>
        </is>
      </c>
      <c r="E8" s="7" t="inlineStr">
        <is>
          <t>Check inbox for verification link or click Resend</t>
        </is>
      </c>
      <c r="F8" s="25" t="inlineStr">
        <is>
          <t>Yes</t>
        </is>
      </c>
    </row>
    <row r="9" ht="22" customHeight="1">
      <c r="A9" s="22" t="inlineStr">
        <is>
          <t>ERR-005</t>
        </is>
      </c>
      <c r="B9" s="6" t="inlineStr">
        <is>
          <t>Google sign-in popup was closed.</t>
        </is>
      </c>
      <c r="C9" s="5" t="inlineStr">
        <is>
          <t>Auth.tsx</t>
        </is>
      </c>
      <c r="D9" s="5" t="inlineStr">
        <is>
          <t>User closes Google OAuth popup window before completion</t>
        </is>
      </c>
      <c r="E9" s="5" t="inlineStr">
        <is>
          <t>Re-click 'Continue with Google'</t>
        </is>
      </c>
      <c r="F9" s="23" t="inlineStr">
        <is>
          <t>Yes</t>
        </is>
      </c>
    </row>
    <row r="10" ht="22" customHeight="1">
      <c r="A10" s="24" t="inlineStr">
        <is>
          <t>ERR-006</t>
        </is>
      </c>
      <c r="B10" s="8" t="inlineStr">
        <is>
          <t>Popup blocked by browser. Enable popups to sign in with Google.</t>
        </is>
      </c>
      <c r="C10" s="7" t="inlineStr">
        <is>
          <t>Auth.tsx</t>
        </is>
      </c>
      <c r="D10" s="7" t="inlineStr">
        <is>
          <t>Browser popup blocker prevents OAuth window</t>
        </is>
      </c>
      <c r="E10" s="7" t="inlineStr">
        <is>
          <t>Allow popups for domain in browser settings</t>
        </is>
      </c>
      <c r="F10" s="25" t="inlineStr">
        <is>
          <t>Yes</t>
        </is>
      </c>
    </row>
    <row r="11" ht="22" customHeight="1">
      <c r="A11" s="22" t="inlineStr">
        <is>
          <t>ERR-007</t>
        </is>
      </c>
      <c r="B11" s="6" t="inlineStr">
        <is>
          <t>If an account exists for this email, a reset link has been sent.</t>
        </is>
      </c>
      <c r="C11" s="5" t="inlineStr">
        <is>
          <t>Auth.tsx</t>
        </is>
      </c>
      <c r="D11" s="5" t="inlineStr">
        <is>
          <t>User submits password reset form</t>
        </is>
      </c>
      <c r="E11" s="5" t="inlineStr">
        <is>
          <t>Check email inbox for password reset link</t>
        </is>
      </c>
      <c r="F11" s="23" t="inlineStr">
        <is>
          <t>Yes</t>
        </is>
      </c>
    </row>
    <row r="12" ht="22" customHeight="1">
      <c r="A12" s="24" t="inlineStr">
        <is>
          <t>ERR-008</t>
        </is>
      </c>
      <c r="B12" s="8" t="inlineStr">
        <is>
          <t>Free tier limit reached. Upgrade to Starter or Pro for unlimited resume scoring.</t>
        </is>
      </c>
      <c r="C12" s="7" t="inlineStr">
        <is>
          <t>ResumeIntelligence.tsx</t>
        </is>
      </c>
      <c r="D12" s="7" t="inlineStr">
        <is>
          <t>Free user exceeds 2 lifetime resume analyses</t>
        </is>
      </c>
      <c r="E12" s="7" t="inlineStr">
        <is>
          <t>Upgrade plan via Upgrade Modal</t>
        </is>
      </c>
      <c r="F12" s="25" t="inlineStr">
        <is>
          <t>No</t>
        </is>
      </c>
    </row>
    <row r="13" ht="22" customHeight="1">
      <c r="A13" s="22" t="inlineStr">
        <is>
          <t>ERR-009</t>
        </is>
      </c>
      <c r="B13" s="6" t="inlineStr">
        <is>
          <t>Resume text is too short to analyze.</t>
        </is>
      </c>
      <c r="C13" s="5" t="inlineStr">
        <is>
          <t>ResumeUploadForm.tsx</t>
        </is>
      </c>
      <c r="D13" s="5" t="inlineStr">
        <is>
          <t>Uploaded/pasted resume text length &lt; 50 characters</t>
        </is>
      </c>
      <c r="E13" s="5" t="inlineStr">
        <is>
          <t>Provide a complete resume document</t>
        </is>
      </c>
      <c r="F13" s="23" t="inlineStr">
        <is>
          <t>Yes</t>
        </is>
      </c>
    </row>
    <row r="14" ht="22" customHeight="1">
      <c r="A14" s="24" t="inlineStr">
        <is>
          <t>ERR-010</t>
        </is>
      </c>
      <c r="B14" s="8" t="inlineStr">
        <is>
          <t>AI service is temporarily unavailable. Please try again.</t>
        </is>
      </c>
      <c r="C14" s="7" t="inlineStr">
        <is>
          <t>analysisService.ts</t>
        </is>
      </c>
      <c r="D14" s="7" t="inlineStr">
        <is>
          <t>Gemini API timeout or backend error</t>
        </is>
      </c>
      <c r="E14" s="7" t="inlineStr">
        <is>
          <t>Wait 10 seconds and re-click Analyze</t>
        </is>
      </c>
      <c r="F14" s="25" t="inlineStr">
        <is>
          <t>Yes</t>
        </is>
      </c>
    </row>
    <row r="15" ht="22" customHeight="1">
      <c r="A15" s="22" t="inlineStr">
        <is>
          <t>ERR-011</t>
        </is>
      </c>
      <c r="B15" s="6" t="inlineStr">
        <is>
          <t>Please provide both a resume and a job description.</t>
        </is>
      </c>
      <c r="C15" s="5" t="inlineStr">
        <is>
          <t>JobFitAnalysis.tsx</t>
        </is>
      </c>
      <c r="D15" s="5" t="inlineStr">
        <is>
          <t>Job fit form submitted with missing resume or JD</t>
        </is>
      </c>
      <c r="E15" s="5" t="inlineStr">
        <is>
          <t>Fill in both text fields before analyzing</t>
        </is>
      </c>
      <c r="F15" s="23" t="inlineStr">
        <is>
          <t>Yes</t>
        </is>
      </c>
    </row>
    <row r="16" ht="22" customHeight="1">
      <c r="A16" s="24" t="inlineStr">
        <is>
          <t>ERR-012</t>
        </is>
      </c>
      <c r="B16" s="8" t="inlineStr">
        <is>
          <t>The linkedin optimize feature is only available on Starter or Pro plans.</t>
        </is>
      </c>
      <c r="C16" s="7" t="inlineStr">
        <is>
          <t>functions/src/index.ts</t>
        </is>
      </c>
      <c r="D16" s="7" t="inlineStr">
        <is>
          <t>Free user attempts LinkedIn profile rewrite</t>
        </is>
      </c>
      <c r="E16" s="7" t="inlineStr">
        <is>
          <t>Upgrade to Starter or Pro subscription</t>
        </is>
      </c>
      <c r="F16" s="25" t="inlineStr">
        <is>
          <t>No</t>
        </is>
      </c>
    </row>
    <row r="17" ht="22" customHeight="1">
      <c r="A17" s="22" t="inlineStr">
        <is>
          <t>ERR-013</t>
        </is>
      </c>
      <c r="B17" s="6" t="inlineStr">
        <is>
          <t>Rate limit exceeded. Try again in a minute.</t>
        </is>
      </c>
      <c r="C17" s="5" t="inlineStr">
        <is>
          <t>functions/src/index.ts</t>
        </is>
      </c>
      <c r="D17" s="5" t="inlineStr">
        <is>
          <t>User executes &gt;3 AI analysis calls in 60 seconds</t>
        </is>
      </c>
      <c r="E17" s="5" t="inlineStr">
        <is>
          <t>Wait 60 seconds before submitting next request</t>
        </is>
      </c>
      <c r="F17" s="23" t="inlineStr">
        <is>
          <t>Yes</t>
        </is>
      </c>
    </row>
    <row r="18" ht="22" customHeight="1">
      <c r="A18" s="24" t="inlineStr">
        <is>
          <t>ERR-014</t>
        </is>
      </c>
      <c r="B18" s="8" t="inlineStr">
        <is>
          <t>Unable to load Razorpay checkout script. Please check your network or adblocker/CSP settings.</t>
        </is>
      </c>
      <c r="C18" s="7" t="inlineStr">
        <is>
          <t>paymentService.ts</t>
        </is>
      </c>
      <c r="D18" s="7" t="inlineStr">
        <is>
          <t>Razorpay JS fails to load within 10 seconds</t>
        </is>
      </c>
      <c r="E18" s="7" t="inlineStr">
        <is>
          <t>Disable adblocker / check internet connection</t>
        </is>
      </c>
      <c r="F18" s="25" t="inlineStr">
        <is>
          <t>Yes</t>
        </is>
      </c>
    </row>
    <row r="19" ht="22" customHeight="1">
      <c r="A19" s="22" t="inlineStr">
        <is>
          <t>ERR-015</t>
        </is>
      </c>
      <c r="B19" s="6" t="inlineStr">
        <is>
          <t>Failed to open Razorpay modal. Please check browser pop-up settings or retry.</t>
        </is>
      </c>
      <c r="C19" s="5" t="inlineStr">
        <is>
          <t>paymentService.ts</t>
        </is>
      </c>
      <c r="D19" s="5" t="inlineStr">
        <is>
          <t>Exception thrown when initializing Razorpay window</t>
        </is>
      </c>
      <c r="E19" s="5" t="inlineStr">
        <is>
          <t>Allow popups or refresh page</t>
        </is>
      </c>
      <c r="F19" s="23" t="inlineStr">
        <is>
          <t>Yes</t>
        </is>
      </c>
    </row>
    <row r="20" ht="22" customHeight="1">
      <c r="A20" s="24" t="inlineStr">
        <is>
          <t>ERR-016</t>
        </is>
      </c>
      <c r="B20" s="8" t="inlineStr">
        <is>
          <t>DPDP consent required before running AI analysis.</t>
        </is>
      </c>
      <c r="C20" s="7" t="inlineStr">
        <is>
          <t>functions/src/security/auth.ts</t>
        </is>
      </c>
      <c r="D20" s="7" t="inlineStr">
        <is>
          <t>Student user without DPDP consent triggers AI tool</t>
        </is>
      </c>
      <c r="E20" s="7" t="inlineStr">
        <is>
          <t>Accept DPDP consent prompt in modal</t>
        </is>
      </c>
      <c r="F20" s="25" t="inlineStr">
        <is>
          <t>Yes</t>
        </is>
      </c>
    </row>
    <row r="21" ht="22" customHeight="1">
      <c r="A21" s="22" t="inlineStr">
        <is>
          <t>ERR-017</t>
        </is>
      </c>
      <c r="B21" s="6" t="inlineStr">
        <is>
          <t>Access denied for role.</t>
        </is>
      </c>
      <c r="C21" s="5" t="inlineStr">
        <is>
          <t>functions/src/security/auth.ts</t>
        </is>
      </c>
      <c r="D21" s="5" t="inlineStr">
        <is>
          <t>Caller lacks required role claims for endpoint</t>
        </is>
      </c>
      <c r="E21" s="5" t="inlineStr">
        <is>
          <t>Switch to authorized user account</t>
        </is>
      </c>
      <c r="F21" s="23" t="inlineStr">
        <is>
          <t>No</t>
        </is>
      </c>
    </row>
    <row r="22" ht="22" customHeight="1">
      <c r="A22" s="24" t="inlineStr">
        <is>
          <t>ERR-018</t>
        </is>
      </c>
      <c r="B22" s="8" t="inlineStr">
        <is>
          <t>Access denied for branch.</t>
        </is>
      </c>
      <c r="C22" s="7" t="inlineStr">
        <is>
          <t>functions/src/security/auth.ts</t>
        </is>
      </c>
      <c r="D22" s="7" t="inlineStr">
        <is>
          <t>Coordinator accesses student outside branchScope</t>
        </is>
      </c>
      <c r="E22" s="7" t="inlineStr">
        <is>
          <t>Request updated branch scope assignment</t>
        </is>
      </c>
      <c r="F22" s="25" t="inlineStr">
        <is>
          <t>No</t>
        </is>
      </c>
    </row>
    <row r="23" ht="22" customHeight="1">
      <c r="A23" s="22" t="inlineStr">
        <is>
          <t>ERR-019</t>
        </is>
      </c>
      <c r="B23" s="6" t="inlineStr">
        <is>
          <t>Tenant seat limit reached. Upgrade campus plan to add more students.</t>
        </is>
      </c>
      <c r="C23" s="5" t="inlineStr">
        <is>
          <t>functions/src/index.ts</t>
        </is>
      </c>
      <c r="D23" s="5" t="inlineStr">
        <is>
          <t>CSV student import exceeds tenant seats quota</t>
        </is>
      </c>
      <c r="E23" s="5" t="inlineStr">
        <is>
          <t>Upgrade institutional seat license</t>
        </is>
      </c>
      <c r="F23" s="23" t="inlineStr">
        <is>
          <t>No</t>
        </is>
      </c>
    </row>
    <row r="24" ht="22" customHeight="1">
      <c r="A24" s="24" t="inlineStr">
        <is>
          <t>ERR-020</t>
        </is>
      </c>
      <c r="B24" s="8" t="inlineStr">
        <is>
          <t>Microphone access denied. Please enable mic permissions in browser settings to use voice mode.</t>
        </is>
      </c>
      <c r="C24" s="7" t="inlineStr">
        <is>
          <t>CampusInterviews.tsx</t>
        </is>
      </c>
      <c r="D24" s="7" t="inlineStr">
        <is>
          <t>User rejects browser microphone prompt</t>
        </is>
      </c>
      <c r="E24" s="7" t="inlineStr">
        <is>
          <t>Grant microphone permission in browser bar</t>
        </is>
      </c>
      <c r="F24" s="25" t="inlineStr">
        <is>
          <t>Yes</t>
        </is>
      </c>
    </row>
    <row r="27">
      <c r="A27" s="2" t="inlineStr">
        <is>
          <t>2. QA Diagnostic Scenarios (Symptom -&gt; Cause -&gt; Checks)</t>
        </is>
      </c>
    </row>
    <row r="28" ht="24" customHeight="1">
      <c r="A28" s="11" t="inlineStr">
        <is>
          <t>#</t>
        </is>
      </c>
      <c r="B28" s="11" t="inlineStr">
        <is>
          <t>Observed User Symptom</t>
        </is>
      </c>
      <c r="C28" s="11" t="inlineStr">
        <is>
          <t>Probable Root Cause</t>
        </is>
      </c>
      <c r="D28" s="11" t="inlineStr">
        <is>
          <t>First Diagnostic Checks for QA Tester</t>
        </is>
      </c>
    </row>
    <row r="29" ht="22" customHeight="1">
      <c r="A29" s="23" t="inlineStr">
        <is>
          <t>1</t>
        </is>
      </c>
      <c r="B29" s="5" t="inlineStr">
        <is>
          <t>Login succeeds, but immediately redirects back to /verify-email</t>
        </is>
      </c>
      <c r="C29" s="5" t="inlineStr">
        <is>
          <t>User's email is not verified in Firebase Auth</t>
        </is>
      </c>
      <c r="D29" s="5" t="inlineStr">
        <is>
          <t>Check user.emailVerified in Firebase Console. Click 'Resend Email' and click link.</t>
        </is>
      </c>
    </row>
    <row r="30" ht="22" customHeight="1">
      <c r="A30" s="25" t="inlineStr">
        <is>
          <t>2</t>
        </is>
      </c>
      <c r="B30" s="7" t="inlineStr">
        <is>
          <t>Upgrade to Starter modal opens when clicking LinkedIn Optimizer</t>
        </is>
      </c>
      <c r="C30" s="7" t="inlineStr">
        <is>
          <t>User is on Free plan (linkedin_optimize requires paid tier)</t>
        </is>
      </c>
      <c r="D30" s="7" t="inlineStr">
        <is>
          <t>Check user_plans/{uid} document. Verify planType is 'starter' or 'pro'.</t>
        </is>
      </c>
    </row>
    <row r="31" ht="22" customHeight="1">
      <c r="A31" s="23" t="inlineStr">
        <is>
          <t>3</t>
        </is>
      </c>
      <c r="B31" s="5" t="inlineStr">
        <is>
          <t>AI Analysis fails with 'Rate limit exceeded' toast</t>
        </is>
      </c>
      <c r="C31" s="5" t="inlineStr">
        <is>
          <t>User clicked Analyze &gt;3 times in under 1 minute</t>
        </is>
      </c>
      <c r="D31" s="5" t="inlineStr">
        <is>
          <t>Inspect Firestore collection ai_rate_limits/{uid}_careerAnalysis. Wait 60s for reset.</t>
        </is>
      </c>
    </row>
    <row r="32" ht="22" customHeight="1">
      <c r="A32" s="25" t="inlineStr">
        <is>
          <t>4</t>
        </is>
      </c>
      <c r="B32" s="7" t="inlineStr">
        <is>
          <t>Razorpay payment modal fails to launch after clicking Upgrade</t>
        </is>
      </c>
      <c r="C32" s="7" t="inlineStr">
        <is>
          <t>Script blocked by browser adblocker or strict CSP policy</t>
        </is>
      </c>
      <c r="D32" s="7" t="inlineStr">
        <is>
          <t>Open browser Developer Console. Check for blocked request to checkout.razorpay.com.</t>
        </is>
      </c>
    </row>
    <row r="33" ht="22" customHeight="1">
      <c r="A33" s="23" t="inlineStr">
        <is>
          <t>5</t>
        </is>
      </c>
      <c r="B33" s="5" t="inlineStr">
        <is>
          <t>Campus student cannot launch Vernacular Mock Interview</t>
        </is>
      </c>
      <c r="C33" s="5" t="inlineStr">
        <is>
          <t>Student has not accepted DPDP Privacy Consent prompt</t>
        </is>
      </c>
      <c r="D33" s="5" t="inlineStr">
        <is>
          <t>Check profiles/{uid} doc for dpdpConsent: true. Accept consent modal on screen.</t>
        </is>
      </c>
    </row>
    <row r="34" ht="22" customHeight="1">
      <c r="A34" s="25" t="inlineStr">
        <is>
          <t>6</t>
        </is>
      </c>
      <c r="B34" s="7" t="inlineStr">
        <is>
          <t>Coordinator cannot view CSE student profiles</t>
        </is>
      </c>
      <c r="C34" s="7" t="inlineStr">
        <is>
          <t>Coordinator lacks 'CSE' in custom claim branchScope</t>
        </is>
      </c>
      <c r="D34" s="7" t="inlineStr">
        <is>
          <t>Inspect JWT ID token claims or tenant_members doc. Verify branchScope array.</t>
        </is>
      </c>
    </row>
    <row r="35" ht="22" customHeight="1">
      <c r="A35" s="23" t="inlineStr">
        <is>
          <t>7</t>
        </is>
      </c>
      <c r="B35" s="5" t="inlineStr">
        <is>
          <t>CSV Student Import fails with 'Tenant seat limit reached'</t>
        </is>
      </c>
      <c r="C35" s="5" t="inlineStr">
        <is>
          <t>CSV row count + seatsUsed exceeds tenant seats quota</t>
        </is>
      </c>
      <c r="D35" s="5" t="inlineStr">
        <is>
          <t>Inspect tenants/{tenantId} document. Compare seatsUsed vs seats.</t>
        </is>
      </c>
    </row>
    <row r="36" ht="22" customHeight="1">
      <c r="A36" s="25" t="inlineStr">
        <is>
          <t>8</t>
        </is>
      </c>
      <c r="B36" s="7" t="inlineStr">
        <is>
          <t>Platform Admin Console displays 'Access Denied'</t>
        </is>
      </c>
      <c r="C36" s="7" t="inlineStr">
        <is>
          <t>Account email is not listed in PLATFORM_ADMIN_ALLOWLIST</t>
        </is>
      </c>
      <c r="D36" s="7" t="inlineStr">
        <is>
          <t>Verify email in functions/src/demoSeeder.ts. Run bootstrapPlatformAdmin endpoint.</t>
        </is>
      </c>
    </row>
    <row r="37" ht="22" customHeight="1">
      <c r="A37" s="23" t="inlineStr">
        <is>
          <t>9</t>
        </is>
      </c>
      <c r="B37" s="5" t="inlineStr">
        <is>
          <t>Vernacular Voice Interview fails to transcribe speech</t>
        </is>
      </c>
      <c r="C37" s="5" t="inlineStr">
        <is>
          <t>Microphone blocked or Bhashini voice provider timeout</t>
        </is>
      </c>
      <c r="D37" s="5" t="inlineStr">
        <is>
          <t>Check browser mic permissions. Verify network request to bhashini.gov.in.</t>
        </is>
      </c>
    </row>
    <row r="38" ht="22" customHeight="1">
      <c r="A38" s="25" t="inlineStr">
        <is>
          <t>10</t>
        </is>
      </c>
      <c r="B38" s="7" t="inlineStr">
        <is>
          <t>1-Click Demo Campus seeder fails with 'Confirmation Required'</t>
        </is>
      </c>
      <c r="C38" s="7" t="inlineStr">
        <is>
          <t>Tenant demo-sunrise already exists in Firestore</t>
        </is>
      </c>
      <c r="D38" s="7" t="inlineStr">
        <is>
          <t>Inspect tenants/{tenantId}. Seeder execution is FOUNDER-ONLY on Production.</t>
        </is>
      </c>
    </row>
    <row r="40">
      <c r="A40" s="2" t="inlineStr">
        <is>
          <t>3. Protocol: If Nothing Here Matches Your Problem</t>
        </is>
      </c>
    </row>
    <row r="41" ht="18" customHeight="1">
      <c r="A41" s="3" t="inlineStr">
        <is>
          <t>1. Perform a hard browser refresh (Ctrl + Shift + R or Cmd + Shift + R) to clear cached JavaScript bundles.</t>
        </is>
      </c>
    </row>
    <row r="42" ht="18" customHeight="1">
      <c r="A42" s="3" t="inlineStr">
        <is>
          <t>2. confirm the URL bar shows https://aivilabs.com (production).</t>
        </is>
      </c>
    </row>
    <row r="43" ht="18" customHeight="1">
      <c r="A43" s="3" t="inlineStr">
        <is>
          <t>3. Test the exact same flow in an Incognito / Private window to rule out browser extension interference.</t>
        </is>
      </c>
    </row>
    <row r="44" ht="18" customHeight="1">
      <c r="A44" s="3" t="inlineStr">
        <is>
          <t>4. Try logging in with a different test account of the same role from the Test Accounts sheet.</t>
        </is>
      </c>
    </row>
    <row r="45" ht="18" customHeight="1">
      <c r="A45" s="3" t="inlineStr">
        <is>
          <t>5. Open Developer Console (F12) -&gt; Console &amp; Network tabs -&gt; Capture screenshot of any red error stack trace.</t>
        </is>
      </c>
    </row>
    <row r="46" ht="18" customHeight="1">
      <c r="A46" s="3" t="inlineStr">
        <is>
          <t>6. File a bug on 'Bug Log' sheet using the mandatory 5-line format, attach screenshot link, and write 'checks done: hard refresh, incognito, console inspect'.</t>
        </is>
      </c>
    </row>
  </sheetData>
  <autoFilter ref="A4:F24"/>
  <mergeCells count="7">
    <mergeCell ref="A41:F41"/>
    <mergeCell ref="A42:F42"/>
    <mergeCell ref="A46:F46"/>
    <mergeCell ref="A44:F44"/>
    <mergeCell ref="A1:F1"/>
    <mergeCell ref="A45:F45"/>
    <mergeCell ref="A43:F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0" customWidth="1" min="5" max="5"/>
    <col width="14" customWidth="1" min="6" max="6"/>
    <col width="35" customWidth="1" min="7" max="7"/>
    <col width="30" customWidth="1" min="8" max="8"/>
    <col width="35" customWidth="1" min="9" max="9"/>
    <col width="30" customWidth="1" min="10" max="10"/>
    <col width="25" customWidth="1" min="11" max="11"/>
    <col width="35" customWidth="1" min="12" max="12"/>
    <col width="15" customWidth="1" min="13" max="13"/>
    <col width="35" customWidth="1" min="14" max="14"/>
    <col width="18" customWidth="1" min="15" max="15"/>
  </cols>
  <sheetData>
    <row r="1" ht="35" customHeight="1">
      <c r="A1" s="1" t="inlineStr">
        <is>
          <t>AIVI CAREER &amp; CAMPUS OS — FORMAL QA BUG LOG</t>
        </is>
      </c>
    </row>
    <row r="2" ht="28" customHeight="1">
      <c r="A2" s="4" t="inlineStr">
        <is>
          <t>Bug ID</t>
        </is>
      </c>
      <c r="B2" s="4" t="inlineStr">
        <is>
          <t>Date</t>
        </is>
      </c>
      <c r="C2" s="4" t="inlineStr">
        <is>
          <t>Found via Test ID</t>
        </is>
      </c>
      <c r="D2" s="4" t="inlineStr">
        <is>
          <t>Module / Screen</t>
        </is>
      </c>
      <c r="E2" s="4" t="inlineStr">
        <is>
          <t>Severity</t>
        </is>
      </c>
      <c r="F2" s="4" t="inlineStr">
        <is>
          <t>Found By</t>
        </is>
      </c>
      <c r="G2" s="4" t="inlineStr">
        <is>
          <t>① What I did</t>
        </is>
      </c>
      <c r="H2" s="4" t="inlineStr">
        <is>
          <t>② What I expected</t>
        </is>
      </c>
      <c r="I2" s="4" t="inlineStr">
        <is>
          <t>③ What happened (exact message)</t>
        </is>
      </c>
      <c r="J2" s="4" t="inlineStr">
        <is>
          <t>④ URL + Env + Account</t>
        </is>
      </c>
      <c r="K2" s="4" t="inlineStr">
        <is>
          <t>⑤ Screenshot/recording link</t>
        </is>
      </c>
      <c r="L2" s="4" t="inlineStr">
        <is>
          <t>Checks done before filing</t>
        </is>
      </c>
      <c r="M2" s="4" t="inlineStr">
        <is>
          <t>Status</t>
        </is>
      </c>
      <c r="N2" s="4" t="inlineStr">
        <is>
          <t>Dev Notes (founder/builder)</t>
        </is>
      </c>
      <c r="O2" s="4" t="inlineStr">
        <is>
          <t>Retested By + Date</t>
        </is>
      </c>
    </row>
    <row r="3" ht="50" customHeight="1">
      <c r="A3" s="26" t="inlineStr">
        <is>
          <t>BUG-001</t>
        </is>
      </c>
      <c r="B3" s="27" t="inlineStr">
        <is>
          <t>2026-07-23</t>
        </is>
      </c>
      <c r="C3" s="26" t="inlineStr">
        <is>
          <t>S01-T005</t>
        </is>
      </c>
      <c r="D3" s="28" t="inlineStr">
        <is>
          <t>Auth / Login</t>
        </is>
      </c>
      <c r="E3" s="26" t="inlineStr">
        <is>
          <t>P2</t>
        </is>
      </c>
      <c r="F3" s="28" t="inlineStr">
        <is>
          <t>Intern Lead</t>
        </is>
      </c>
      <c r="G3" s="28" t="inlineStr">
        <is>
          <t>1. Navigated to https://aivilabs.com/login
2. Entered email 'test.unverified@demo.aivilabs.com' and password 'DemoUser@2026'
3. Clicked 'Sign In'</t>
        </is>
      </c>
      <c r="H3" s="28" t="inlineStr">
        <is>
          <t>User should log in and land on /dashboard</t>
        </is>
      </c>
      <c r="I3" s="28" t="inlineStr">
        <is>
          <t>Screen redirected to /verify-email showing banner 'Email verification required.'</t>
        </is>
      </c>
      <c r="J3" s="28" t="inlineStr">
        <is>
          <t>https://aivilabs.com/login | Production | test.unverified@demo.aivilabs.com</t>
        </is>
      </c>
      <c r="K3" s="28" t="inlineStr">
        <is>
          <t>https://drive.google.com/file/d/sample-bug-001/view</t>
        </is>
      </c>
      <c r="L3" s="28" t="inlineStr">
        <is>
          <t>checks done: checked user in console, emailVerified is false, password is correct, email reset link arrives. Working as designed per ch.05.</t>
        </is>
      </c>
      <c r="M3" s="26" t="inlineStr">
        <is>
          <t>Not a Bug</t>
        </is>
      </c>
      <c r="N3" s="28" t="inlineStr">
        <is>
          <t>Expected behavior per Auth security rules (ch.05). Unverified accounts are strictly gated to /verify-email.</t>
        </is>
      </c>
      <c r="O3" s="28" t="inlineStr">
        <is>
          <t>Founder / 2026-07-23</t>
        </is>
      </c>
    </row>
    <row r="4" ht="24" customHeight="1">
      <c r="A4" s="24" t="inlineStr">
        <is>
          <t>BUG-002</t>
        </is>
      </c>
      <c r="B4" s="29" t="inlineStr"/>
      <c r="C4" s="19" t="inlineStr"/>
      <c r="D4" s="19" t="inlineStr"/>
      <c r="E4" s="29" t="inlineStr"/>
      <c r="F4" s="19" t="inlineStr"/>
      <c r="G4" s="19" t="inlineStr"/>
      <c r="H4" s="19" t="inlineStr"/>
      <c r="I4" s="19" t="inlineStr"/>
      <c r="J4" s="19" t="inlineStr"/>
      <c r="K4" s="19" t="inlineStr"/>
      <c r="L4" s="19" t="inlineStr"/>
      <c r="M4" s="29" t="inlineStr"/>
      <c r="N4" s="19" t="inlineStr"/>
      <c r="O4" s="19" t="inlineStr"/>
    </row>
    <row r="5" ht="24" customHeight="1">
      <c r="A5" s="22" t="inlineStr">
        <is>
          <t>BUG-003</t>
        </is>
      </c>
      <c r="B5" s="30" t="inlineStr"/>
      <c r="C5" s="15" t="inlineStr"/>
      <c r="D5" s="15" t="inlineStr"/>
      <c r="E5" s="30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30" t="inlineStr"/>
      <c r="N5" s="15" t="inlineStr"/>
      <c r="O5" s="15" t="inlineStr"/>
    </row>
    <row r="6" ht="24" customHeight="1">
      <c r="A6" s="24" t="inlineStr">
        <is>
          <t>BUG-004</t>
        </is>
      </c>
      <c r="B6" s="29" t="inlineStr"/>
      <c r="C6" s="19" t="inlineStr"/>
      <c r="D6" s="19" t="inlineStr"/>
      <c r="E6" s="2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29" t="inlineStr"/>
      <c r="N6" s="19" t="inlineStr"/>
      <c r="O6" s="19" t="inlineStr"/>
    </row>
    <row r="7" ht="24" customHeight="1">
      <c r="A7" s="22" t="inlineStr">
        <is>
          <t>BUG-005</t>
        </is>
      </c>
      <c r="B7" s="30" t="inlineStr"/>
      <c r="C7" s="15" t="inlineStr"/>
      <c r="D7" s="15" t="inlineStr"/>
      <c r="E7" s="30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30" t="inlineStr"/>
      <c r="N7" s="15" t="inlineStr"/>
      <c r="O7" s="15" t="inlineStr"/>
    </row>
    <row r="8" ht="24" customHeight="1">
      <c r="A8" s="24" t="inlineStr">
        <is>
          <t>BUG-006</t>
        </is>
      </c>
      <c r="B8" s="29" t="inlineStr"/>
      <c r="C8" s="19" t="inlineStr"/>
      <c r="D8" s="19" t="inlineStr"/>
      <c r="E8" s="2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29" t="inlineStr"/>
      <c r="N8" s="19" t="inlineStr"/>
      <c r="O8" s="19" t="inlineStr"/>
    </row>
    <row r="9" ht="24" customHeight="1">
      <c r="A9" s="22" t="inlineStr">
        <is>
          <t>BUG-007</t>
        </is>
      </c>
      <c r="B9" s="30" t="inlineStr"/>
      <c r="C9" s="15" t="inlineStr"/>
      <c r="D9" s="15" t="inlineStr"/>
      <c r="E9" s="30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30" t="inlineStr"/>
      <c r="N9" s="15" t="inlineStr"/>
      <c r="O9" s="15" t="inlineStr"/>
    </row>
    <row r="10" ht="24" customHeight="1">
      <c r="A10" s="24" t="inlineStr">
        <is>
          <t>BUG-008</t>
        </is>
      </c>
      <c r="B10" s="29" t="inlineStr"/>
      <c r="C10" s="19" t="inlineStr"/>
      <c r="D10" s="19" t="inlineStr"/>
      <c r="E10" s="2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29" t="inlineStr"/>
      <c r="N10" s="19" t="inlineStr"/>
      <c r="O10" s="19" t="inlineStr"/>
    </row>
    <row r="11" ht="24" customHeight="1">
      <c r="A11" s="22" t="inlineStr">
        <is>
          <t>BUG-009</t>
        </is>
      </c>
      <c r="B11" s="30" t="inlineStr"/>
      <c r="C11" s="15" t="inlineStr"/>
      <c r="D11" s="15" t="inlineStr"/>
      <c r="E11" s="30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30" t="inlineStr"/>
      <c r="N11" s="15" t="inlineStr"/>
      <c r="O11" s="15" t="inlineStr"/>
    </row>
    <row r="12" ht="24" customHeight="1">
      <c r="A12" s="24" t="inlineStr">
        <is>
          <t>BUG-010</t>
        </is>
      </c>
      <c r="B12" s="29" t="inlineStr"/>
      <c r="C12" s="19" t="inlineStr"/>
      <c r="D12" s="19" t="inlineStr"/>
      <c r="E12" s="2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29" t="inlineStr"/>
      <c r="N12" s="19" t="inlineStr"/>
      <c r="O12" s="19" t="inlineStr"/>
    </row>
    <row r="13" ht="24" customHeight="1">
      <c r="A13" s="22" t="inlineStr">
        <is>
          <t>BUG-011</t>
        </is>
      </c>
      <c r="B13" s="30" t="inlineStr"/>
      <c r="C13" s="15" t="inlineStr"/>
      <c r="D13" s="15" t="inlineStr"/>
      <c r="E13" s="30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30" t="inlineStr"/>
      <c r="N13" s="15" t="inlineStr"/>
      <c r="O13" s="15" t="inlineStr"/>
    </row>
    <row r="14" ht="24" customHeight="1">
      <c r="A14" s="24" t="inlineStr">
        <is>
          <t>BUG-012</t>
        </is>
      </c>
      <c r="B14" s="29" t="inlineStr"/>
      <c r="C14" s="19" t="inlineStr"/>
      <c r="D14" s="19" t="inlineStr"/>
      <c r="E14" s="2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29" t="inlineStr"/>
      <c r="N14" s="19" t="inlineStr"/>
      <c r="O14" s="19" t="inlineStr"/>
    </row>
    <row r="15" ht="24" customHeight="1">
      <c r="A15" s="22" t="inlineStr">
        <is>
          <t>BUG-013</t>
        </is>
      </c>
      <c r="B15" s="30" t="inlineStr"/>
      <c r="C15" s="15" t="inlineStr"/>
      <c r="D15" s="15" t="inlineStr"/>
      <c r="E15" s="30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30" t="inlineStr"/>
      <c r="N15" s="15" t="inlineStr"/>
      <c r="O15" s="15" t="inlineStr"/>
    </row>
    <row r="16" ht="24" customHeight="1">
      <c r="A16" s="24" t="inlineStr">
        <is>
          <t>BUG-014</t>
        </is>
      </c>
      <c r="B16" s="29" t="inlineStr"/>
      <c r="C16" s="19" t="inlineStr"/>
      <c r="D16" s="19" t="inlineStr"/>
      <c r="E16" s="2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29" t="inlineStr"/>
      <c r="N16" s="19" t="inlineStr"/>
      <c r="O16" s="19" t="inlineStr"/>
    </row>
    <row r="17" ht="24" customHeight="1">
      <c r="A17" s="22" t="inlineStr">
        <is>
          <t>BUG-015</t>
        </is>
      </c>
      <c r="B17" s="30" t="inlineStr"/>
      <c r="C17" s="15" t="inlineStr"/>
      <c r="D17" s="15" t="inlineStr"/>
      <c r="E17" s="30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30" t="inlineStr"/>
      <c r="N17" s="15" t="inlineStr"/>
      <c r="O17" s="15" t="inlineStr"/>
    </row>
    <row r="18" ht="24" customHeight="1">
      <c r="A18" s="24" t="inlineStr">
        <is>
          <t>BUG-016</t>
        </is>
      </c>
      <c r="B18" s="29" t="inlineStr"/>
      <c r="C18" s="19" t="inlineStr"/>
      <c r="D18" s="19" t="inlineStr"/>
      <c r="E18" s="2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9" t="inlineStr"/>
      <c r="N18" s="19" t="inlineStr"/>
      <c r="O18" s="19" t="inlineStr"/>
    </row>
    <row r="19" ht="24" customHeight="1">
      <c r="A19" s="22" t="inlineStr">
        <is>
          <t>BUG-017</t>
        </is>
      </c>
      <c r="B19" s="30" t="inlineStr"/>
      <c r="C19" s="15" t="inlineStr"/>
      <c r="D19" s="15" t="inlineStr"/>
      <c r="E19" s="30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30" t="inlineStr"/>
      <c r="N19" s="15" t="inlineStr"/>
      <c r="O19" s="15" t="inlineStr"/>
    </row>
    <row r="20" ht="24" customHeight="1">
      <c r="A20" s="24" t="inlineStr">
        <is>
          <t>BUG-018</t>
        </is>
      </c>
      <c r="B20" s="29" t="inlineStr"/>
      <c r="C20" s="19" t="inlineStr"/>
      <c r="D20" s="19" t="inlineStr"/>
      <c r="E20" s="2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29" t="inlineStr"/>
      <c r="N20" s="19" t="inlineStr"/>
      <c r="O20" s="19" t="inlineStr"/>
    </row>
    <row r="21" ht="24" customHeight="1">
      <c r="A21" s="22" t="inlineStr">
        <is>
          <t>BUG-019</t>
        </is>
      </c>
      <c r="B21" s="30" t="inlineStr"/>
      <c r="C21" s="15" t="inlineStr"/>
      <c r="D21" s="15" t="inlineStr"/>
      <c r="E21" s="30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30" t="inlineStr"/>
      <c r="N21" s="15" t="inlineStr"/>
      <c r="O21" s="15" t="inlineStr"/>
    </row>
    <row r="22" ht="24" customHeight="1">
      <c r="A22" s="24" t="inlineStr">
        <is>
          <t>BUG-020</t>
        </is>
      </c>
      <c r="B22" s="29" t="inlineStr"/>
      <c r="C22" s="19" t="inlineStr"/>
      <c r="D22" s="19" t="inlineStr"/>
      <c r="E22" s="2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29" t="inlineStr"/>
      <c r="N22" s="19" t="inlineStr"/>
      <c r="O22" s="19" t="inlineStr"/>
    </row>
    <row r="23" ht="24" customHeight="1">
      <c r="A23" s="22" t="inlineStr">
        <is>
          <t>BUG-021</t>
        </is>
      </c>
      <c r="B23" s="30" t="inlineStr"/>
      <c r="C23" s="15" t="inlineStr"/>
      <c r="D23" s="15" t="inlineStr"/>
      <c r="E23" s="30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30" t="inlineStr"/>
      <c r="N23" s="15" t="inlineStr"/>
      <c r="O23" s="15" t="inlineStr"/>
    </row>
    <row r="24" ht="24" customHeight="1">
      <c r="A24" s="24" t="inlineStr">
        <is>
          <t>BUG-022</t>
        </is>
      </c>
      <c r="B24" s="29" t="inlineStr"/>
      <c r="C24" s="19" t="inlineStr"/>
      <c r="D24" s="19" t="inlineStr"/>
      <c r="E24" s="2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29" t="inlineStr"/>
      <c r="N24" s="19" t="inlineStr"/>
      <c r="O24" s="19" t="inlineStr"/>
    </row>
    <row r="25" ht="24" customHeight="1">
      <c r="A25" s="22" t="inlineStr">
        <is>
          <t>BUG-023</t>
        </is>
      </c>
      <c r="B25" s="30" t="inlineStr"/>
      <c r="C25" s="15" t="inlineStr"/>
      <c r="D25" s="15" t="inlineStr"/>
      <c r="E25" s="30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30" t="inlineStr"/>
      <c r="N25" s="15" t="inlineStr"/>
      <c r="O25" s="15" t="inlineStr"/>
    </row>
    <row r="26" ht="24" customHeight="1">
      <c r="A26" s="24" t="inlineStr">
        <is>
          <t>BUG-024</t>
        </is>
      </c>
      <c r="B26" s="29" t="inlineStr"/>
      <c r="C26" s="19" t="inlineStr"/>
      <c r="D26" s="19" t="inlineStr"/>
      <c r="E26" s="2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29" t="inlineStr"/>
      <c r="N26" s="19" t="inlineStr"/>
      <c r="O26" s="19" t="inlineStr"/>
    </row>
    <row r="27" ht="24" customHeight="1">
      <c r="A27" s="22" t="inlineStr">
        <is>
          <t>BUG-025</t>
        </is>
      </c>
      <c r="B27" s="30" t="inlineStr"/>
      <c r="C27" s="15" t="inlineStr"/>
      <c r="D27" s="15" t="inlineStr"/>
      <c r="E27" s="30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30" t="inlineStr"/>
      <c r="N27" s="15" t="inlineStr"/>
      <c r="O27" s="15" t="inlineStr"/>
    </row>
    <row r="28" ht="24" customHeight="1">
      <c r="A28" s="24" t="inlineStr">
        <is>
          <t>BUG-026</t>
        </is>
      </c>
      <c r="B28" s="29" t="inlineStr"/>
      <c r="C28" s="19" t="inlineStr"/>
      <c r="D28" s="19" t="inlineStr"/>
      <c r="E28" s="2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29" t="inlineStr"/>
      <c r="N28" s="19" t="inlineStr"/>
      <c r="O28" s="19" t="inlineStr"/>
    </row>
    <row r="29" ht="24" customHeight="1">
      <c r="A29" s="22" t="inlineStr">
        <is>
          <t>BUG-027</t>
        </is>
      </c>
      <c r="B29" s="30" t="inlineStr"/>
      <c r="C29" s="15" t="inlineStr"/>
      <c r="D29" s="15" t="inlineStr"/>
      <c r="E29" s="30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30" t="inlineStr"/>
      <c r="N29" s="15" t="inlineStr"/>
      <c r="O29" s="15" t="inlineStr"/>
    </row>
    <row r="30" ht="24" customHeight="1">
      <c r="A30" s="24" t="inlineStr">
        <is>
          <t>BUG-028</t>
        </is>
      </c>
      <c r="B30" s="29" t="inlineStr"/>
      <c r="C30" s="19" t="inlineStr"/>
      <c r="D30" s="19" t="inlineStr"/>
      <c r="E30" s="2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29" t="inlineStr"/>
      <c r="N30" s="19" t="inlineStr"/>
      <c r="O30" s="19" t="inlineStr"/>
    </row>
    <row r="31" ht="24" customHeight="1">
      <c r="A31" s="22" t="inlineStr">
        <is>
          <t>BUG-029</t>
        </is>
      </c>
      <c r="B31" s="30" t="inlineStr"/>
      <c r="C31" s="15" t="inlineStr"/>
      <c r="D31" s="15" t="inlineStr"/>
      <c r="E31" s="30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30" t="inlineStr"/>
      <c r="N31" s="15" t="inlineStr"/>
      <c r="O31" s="15" t="inlineStr"/>
    </row>
    <row r="32" ht="24" customHeight="1">
      <c r="A32" s="24" t="inlineStr">
        <is>
          <t>BUG-030</t>
        </is>
      </c>
      <c r="B32" s="29" t="inlineStr"/>
      <c r="C32" s="19" t="inlineStr"/>
      <c r="D32" s="19" t="inlineStr"/>
      <c r="E32" s="2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  <c r="M32" s="29" t="inlineStr"/>
      <c r="N32" s="19" t="inlineStr"/>
      <c r="O32" s="19" t="inlineStr"/>
    </row>
    <row r="33" ht="24" customHeight="1">
      <c r="A33" s="22" t="inlineStr">
        <is>
          <t>BUG-031</t>
        </is>
      </c>
      <c r="B33" s="30" t="inlineStr"/>
      <c r="C33" s="15" t="inlineStr"/>
      <c r="D33" s="15" t="inlineStr"/>
      <c r="E33" s="30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30" t="inlineStr"/>
      <c r="N33" s="15" t="inlineStr"/>
      <c r="O33" s="15" t="inlineStr"/>
    </row>
    <row r="34" ht="24" customHeight="1">
      <c r="A34" s="24" t="inlineStr">
        <is>
          <t>BUG-032</t>
        </is>
      </c>
      <c r="B34" s="29" t="inlineStr"/>
      <c r="C34" s="19" t="inlineStr"/>
      <c r="D34" s="19" t="inlineStr"/>
      <c r="E34" s="2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29" t="inlineStr"/>
      <c r="N34" s="19" t="inlineStr"/>
      <c r="O34" s="19" t="inlineStr"/>
    </row>
    <row r="35" ht="24" customHeight="1">
      <c r="A35" s="22" t="inlineStr">
        <is>
          <t>BUG-033</t>
        </is>
      </c>
      <c r="B35" s="30" t="inlineStr"/>
      <c r="C35" s="15" t="inlineStr"/>
      <c r="D35" s="15" t="inlineStr"/>
      <c r="E35" s="30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30" t="inlineStr"/>
      <c r="N35" s="15" t="inlineStr"/>
      <c r="O35" s="15" t="inlineStr"/>
    </row>
    <row r="36" ht="24" customHeight="1">
      <c r="A36" s="24" t="inlineStr">
        <is>
          <t>BUG-034</t>
        </is>
      </c>
      <c r="B36" s="29" t="inlineStr"/>
      <c r="C36" s="19" t="inlineStr"/>
      <c r="D36" s="19" t="inlineStr"/>
      <c r="E36" s="2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  <c r="M36" s="29" t="inlineStr"/>
      <c r="N36" s="19" t="inlineStr"/>
      <c r="O36" s="19" t="inlineStr"/>
    </row>
    <row r="37" ht="24" customHeight="1">
      <c r="A37" s="22" t="inlineStr">
        <is>
          <t>BUG-035</t>
        </is>
      </c>
      <c r="B37" s="30" t="inlineStr"/>
      <c r="C37" s="15" t="inlineStr"/>
      <c r="D37" s="15" t="inlineStr"/>
      <c r="E37" s="30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15" t="inlineStr"/>
    </row>
    <row r="38" ht="24" customHeight="1">
      <c r="A38" s="24" t="inlineStr">
        <is>
          <t>BUG-036</t>
        </is>
      </c>
      <c r="B38" s="29" t="inlineStr"/>
      <c r="C38" s="19" t="inlineStr"/>
      <c r="D38" s="19" t="inlineStr"/>
      <c r="E38" s="29" t="inlineStr"/>
      <c r="F38" s="19" t="inlineStr"/>
      <c r="G38" s="19" t="inlineStr"/>
      <c r="H38" s="19" t="inlineStr"/>
      <c r="I38" s="19" t="inlineStr"/>
      <c r="J38" s="19" t="inlineStr"/>
      <c r="K38" s="19" t="inlineStr"/>
      <c r="L38" s="19" t="inlineStr"/>
      <c r="M38" s="29" t="inlineStr"/>
      <c r="N38" s="19" t="inlineStr"/>
      <c r="O38" s="19" t="inlineStr"/>
    </row>
    <row r="39" ht="24" customHeight="1">
      <c r="A39" s="22" t="inlineStr">
        <is>
          <t>BUG-037</t>
        </is>
      </c>
      <c r="B39" s="30" t="inlineStr"/>
      <c r="C39" s="15" t="inlineStr"/>
      <c r="D39" s="15" t="inlineStr"/>
      <c r="E39" s="30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30" t="inlineStr"/>
      <c r="N39" s="15" t="inlineStr"/>
      <c r="O39" s="15" t="inlineStr"/>
    </row>
    <row r="40" ht="24" customHeight="1">
      <c r="A40" s="24" t="inlineStr">
        <is>
          <t>BUG-038</t>
        </is>
      </c>
      <c r="B40" s="29" t="inlineStr"/>
      <c r="C40" s="19" t="inlineStr"/>
      <c r="D40" s="19" t="inlineStr"/>
      <c r="E40" s="2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  <c r="M40" s="29" t="inlineStr"/>
      <c r="N40" s="19" t="inlineStr"/>
      <c r="O40" s="19" t="inlineStr"/>
    </row>
    <row r="41" ht="24" customHeight="1">
      <c r="A41" s="22" t="inlineStr">
        <is>
          <t>BUG-039</t>
        </is>
      </c>
      <c r="B41" s="30" t="inlineStr"/>
      <c r="C41" s="15" t="inlineStr"/>
      <c r="D41" s="15" t="inlineStr"/>
      <c r="E41" s="30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30" t="inlineStr"/>
      <c r="N41" s="15" t="inlineStr"/>
      <c r="O41" s="15" t="inlineStr"/>
    </row>
    <row r="42" ht="24" customHeight="1">
      <c r="A42" s="24" t="inlineStr">
        <is>
          <t>BUG-040</t>
        </is>
      </c>
      <c r="B42" s="29" t="inlineStr"/>
      <c r="C42" s="19" t="inlineStr"/>
      <c r="D42" s="19" t="inlineStr"/>
      <c r="E42" s="29" t="inlineStr"/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  <c r="M42" s="29" t="inlineStr"/>
      <c r="N42" s="19" t="inlineStr"/>
      <c r="O42" s="19" t="inlineStr"/>
    </row>
    <row r="43" ht="24" customHeight="1">
      <c r="A43" s="22" t="inlineStr">
        <is>
          <t>BUG-041</t>
        </is>
      </c>
      <c r="B43" s="30" t="inlineStr"/>
      <c r="C43" s="15" t="inlineStr"/>
      <c r="D43" s="15" t="inlineStr"/>
      <c r="E43" s="30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30" t="inlineStr"/>
      <c r="N43" s="15" t="inlineStr"/>
      <c r="O43" s="15" t="inlineStr"/>
    </row>
    <row r="44" ht="24" customHeight="1">
      <c r="A44" s="24" t="inlineStr">
        <is>
          <t>BUG-042</t>
        </is>
      </c>
      <c r="B44" s="29" t="inlineStr"/>
      <c r="C44" s="19" t="inlineStr"/>
      <c r="D44" s="19" t="inlineStr"/>
      <c r="E44" s="2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  <c r="M44" s="29" t="inlineStr"/>
      <c r="N44" s="19" t="inlineStr"/>
      <c r="O44" s="19" t="inlineStr"/>
    </row>
    <row r="45" ht="24" customHeight="1">
      <c r="A45" s="22" t="inlineStr">
        <is>
          <t>BUG-043</t>
        </is>
      </c>
      <c r="B45" s="30" t="inlineStr"/>
      <c r="C45" s="15" t="inlineStr"/>
      <c r="D45" s="15" t="inlineStr"/>
      <c r="E45" s="30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30" t="inlineStr"/>
      <c r="N45" s="15" t="inlineStr"/>
      <c r="O45" s="15" t="inlineStr"/>
    </row>
    <row r="46" ht="24" customHeight="1">
      <c r="A46" s="24" t="inlineStr">
        <is>
          <t>BUG-044</t>
        </is>
      </c>
      <c r="B46" s="29" t="inlineStr"/>
      <c r="C46" s="19" t="inlineStr"/>
      <c r="D46" s="19" t="inlineStr"/>
      <c r="E46" s="29" t="inlineStr"/>
      <c r="F46" s="19" t="inlineStr"/>
      <c r="G46" s="19" t="inlineStr"/>
      <c r="H46" s="19" t="inlineStr"/>
      <c r="I46" s="19" t="inlineStr"/>
      <c r="J46" s="19" t="inlineStr"/>
      <c r="K46" s="19" t="inlineStr"/>
      <c r="L46" s="19" t="inlineStr"/>
      <c r="M46" s="29" t="inlineStr"/>
      <c r="N46" s="19" t="inlineStr"/>
      <c r="O46" s="19" t="inlineStr"/>
    </row>
    <row r="47" ht="24" customHeight="1">
      <c r="A47" s="22" t="inlineStr">
        <is>
          <t>BUG-045</t>
        </is>
      </c>
      <c r="B47" s="30" t="inlineStr"/>
      <c r="C47" s="15" t="inlineStr"/>
      <c r="D47" s="15" t="inlineStr"/>
      <c r="E47" s="30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30" t="inlineStr"/>
      <c r="N47" s="15" t="inlineStr"/>
      <c r="O47" s="15" t="inlineStr"/>
    </row>
    <row r="48" ht="24" customHeight="1">
      <c r="A48" s="24" t="inlineStr">
        <is>
          <t>BUG-046</t>
        </is>
      </c>
      <c r="B48" s="29" t="inlineStr"/>
      <c r="C48" s="19" t="inlineStr"/>
      <c r="D48" s="19" t="inlineStr"/>
      <c r="E48" s="2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29" t="inlineStr"/>
      <c r="N48" s="19" t="inlineStr"/>
      <c r="O48" s="19" t="inlineStr"/>
    </row>
    <row r="49" ht="24" customHeight="1">
      <c r="A49" s="22" t="inlineStr">
        <is>
          <t>BUG-047</t>
        </is>
      </c>
      <c r="B49" s="30" t="inlineStr"/>
      <c r="C49" s="15" t="inlineStr"/>
      <c r="D49" s="15" t="inlineStr"/>
      <c r="E49" s="30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30" t="inlineStr"/>
      <c r="N49" s="15" t="inlineStr"/>
      <c r="O49" s="15" t="inlineStr"/>
    </row>
    <row r="50" ht="24" customHeight="1">
      <c r="A50" s="24" t="inlineStr">
        <is>
          <t>BUG-048</t>
        </is>
      </c>
      <c r="B50" s="29" t="inlineStr"/>
      <c r="C50" s="19" t="inlineStr"/>
      <c r="D50" s="19" t="inlineStr"/>
      <c r="E50" s="29" t="inlineStr"/>
      <c r="F50" s="19" t="inlineStr"/>
      <c r="G50" s="19" t="inlineStr"/>
      <c r="H50" s="19" t="inlineStr"/>
      <c r="I50" s="19" t="inlineStr"/>
      <c r="J50" s="19" t="inlineStr"/>
      <c r="K50" s="19" t="inlineStr"/>
      <c r="L50" s="19" t="inlineStr"/>
      <c r="M50" s="29" t="inlineStr"/>
      <c r="N50" s="19" t="inlineStr"/>
      <c r="O50" s="19" t="inlineStr"/>
    </row>
    <row r="51" ht="24" customHeight="1">
      <c r="A51" s="22" t="inlineStr">
        <is>
          <t>BUG-049</t>
        </is>
      </c>
      <c r="B51" s="30" t="inlineStr"/>
      <c r="C51" s="15" t="inlineStr"/>
      <c r="D51" s="15" t="inlineStr"/>
      <c r="E51" s="30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30" t="inlineStr"/>
      <c r="N51" s="15" t="inlineStr"/>
      <c r="O51" s="15" t="inlineStr"/>
    </row>
    <row r="52" ht="24" customHeight="1">
      <c r="A52" s="24" t="inlineStr">
        <is>
          <t>BUG-050</t>
        </is>
      </c>
      <c r="B52" s="29" t="inlineStr"/>
      <c r="C52" s="19" t="inlineStr"/>
      <c r="D52" s="19" t="inlineStr"/>
      <c r="E52" s="29" t="inlineStr"/>
      <c r="F52" s="19" t="inlineStr"/>
      <c r="G52" s="19" t="inlineStr"/>
      <c r="H52" s="19" t="inlineStr"/>
      <c r="I52" s="19" t="inlineStr"/>
      <c r="J52" s="19" t="inlineStr"/>
      <c r="K52" s="19" t="inlineStr"/>
      <c r="L52" s="19" t="inlineStr"/>
      <c r="M52" s="29" t="inlineStr"/>
      <c r="N52" s="19" t="inlineStr"/>
      <c r="O52" s="19" t="inlineStr"/>
    </row>
    <row r="53" ht="24" customHeight="1">
      <c r="A53" s="22" t="inlineStr">
        <is>
          <t>BUG-051</t>
        </is>
      </c>
      <c r="B53" s="30" t="inlineStr"/>
      <c r="C53" s="15" t="inlineStr"/>
      <c r="D53" s="15" t="inlineStr"/>
      <c r="E53" s="30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30" t="inlineStr"/>
      <c r="N53" s="15" t="inlineStr"/>
      <c r="O53" s="15" t="inlineStr"/>
    </row>
    <row r="54" ht="24" customHeight="1">
      <c r="A54" s="24" t="inlineStr">
        <is>
          <t>BUG-052</t>
        </is>
      </c>
      <c r="B54" s="29" t="inlineStr"/>
      <c r="C54" s="19" t="inlineStr"/>
      <c r="D54" s="19" t="inlineStr"/>
      <c r="E54" s="2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29" t="inlineStr"/>
      <c r="N54" s="19" t="inlineStr"/>
      <c r="O54" s="19" t="inlineStr"/>
    </row>
    <row r="55" ht="24" customHeight="1">
      <c r="A55" s="22" t="inlineStr">
        <is>
          <t>BUG-053</t>
        </is>
      </c>
      <c r="B55" s="30" t="inlineStr"/>
      <c r="C55" s="15" t="inlineStr"/>
      <c r="D55" s="15" t="inlineStr"/>
      <c r="E55" s="30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30" t="inlineStr"/>
      <c r="N55" s="15" t="inlineStr"/>
      <c r="O55" s="15" t="inlineStr"/>
    </row>
    <row r="56" ht="24" customHeight="1">
      <c r="A56" s="24" t="inlineStr">
        <is>
          <t>BUG-054</t>
        </is>
      </c>
      <c r="B56" s="29" t="inlineStr"/>
      <c r="C56" s="19" t="inlineStr"/>
      <c r="D56" s="19" t="inlineStr"/>
      <c r="E56" s="29" t="inlineStr"/>
      <c r="F56" s="19" t="inlineStr"/>
      <c r="G56" s="19" t="inlineStr"/>
      <c r="H56" s="19" t="inlineStr"/>
      <c r="I56" s="19" t="inlineStr"/>
      <c r="J56" s="19" t="inlineStr"/>
      <c r="K56" s="19" t="inlineStr"/>
      <c r="L56" s="19" t="inlineStr"/>
      <c r="M56" s="29" t="inlineStr"/>
      <c r="N56" s="19" t="inlineStr"/>
      <c r="O56" s="19" t="inlineStr"/>
    </row>
    <row r="57" ht="24" customHeight="1">
      <c r="A57" s="22" t="inlineStr">
        <is>
          <t>BUG-055</t>
        </is>
      </c>
      <c r="B57" s="30" t="inlineStr"/>
      <c r="C57" s="15" t="inlineStr"/>
      <c r="D57" s="15" t="inlineStr"/>
      <c r="E57" s="30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30" t="inlineStr"/>
      <c r="N57" s="15" t="inlineStr"/>
      <c r="O57" s="15" t="inlineStr"/>
    </row>
    <row r="58" ht="24" customHeight="1">
      <c r="A58" s="24" t="inlineStr">
        <is>
          <t>BUG-056</t>
        </is>
      </c>
      <c r="B58" s="29" t="inlineStr"/>
      <c r="C58" s="19" t="inlineStr"/>
      <c r="D58" s="19" t="inlineStr"/>
      <c r="E58" s="2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  <c r="M58" s="29" t="inlineStr"/>
      <c r="N58" s="19" t="inlineStr"/>
      <c r="O58" s="19" t="inlineStr"/>
    </row>
    <row r="59" ht="24" customHeight="1">
      <c r="A59" s="22" t="inlineStr">
        <is>
          <t>BUG-057</t>
        </is>
      </c>
      <c r="B59" s="30" t="inlineStr"/>
      <c r="C59" s="15" t="inlineStr"/>
      <c r="D59" s="15" t="inlineStr"/>
      <c r="E59" s="30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30" t="inlineStr"/>
      <c r="N59" s="15" t="inlineStr"/>
      <c r="O59" s="15" t="inlineStr"/>
    </row>
    <row r="60" ht="24" customHeight="1">
      <c r="A60" s="24" t="inlineStr">
        <is>
          <t>BUG-058</t>
        </is>
      </c>
      <c r="B60" s="29" t="inlineStr"/>
      <c r="C60" s="19" t="inlineStr"/>
      <c r="D60" s="19" t="inlineStr"/>
      <c r="E60" s="29" t="inlineStr"/>
      <c r="F60" s="19" t="inlineStr"/>
      <c r="G60" s="19" t="inlineStr"/>
      <c r="H60" s="19" t="inlineStr"/>
      <c r="I60" s="19" t="inlineStr"/>
      <c r="J60" s="19" t="inlineStr"/>
      <c r="K60" s="19" t="inlineStr"/>
      <c r="L60" s="19" t="inlineStr"/>
      <c r="M60" s="29" t="inlineStr"/>
      <c r="N60" s="19" t="inlineStr"/>
      <c r="O60" s="19" t="inlineStr"/>
    </row>
    <row r="61" ht="24" customHeight="1">
      <c r="A61" s="22" t="inlineStr">
        <is>
          <t>BUG-059</t>
        </is>
      </c>
      <c r="B61" s="30" t="inlineStr"/>
      <c r="C61" s="15" t="inlineStr"/>
      <c r="D61" s="15" t="inlineStr"/>
      <c r="E61" s="30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30" t="inlineStr"/>
      <c r="N61" s="15" t="inlineStr"/>
      <c r="O61" s="15" t="inlineStr"/>
    </row>
    <row r="62" ht="24" customHeight="1">
      <c r="A62" s="24" t="inlineStr">
        <is>
          <t>BUG-060</t>
        </is>
      </c>
      <c r="B62" s="29" t="inlineStr"/>
      <c r="C62" s="19" t="inlineStr"/>
      <c r="D62" s="19" t="inlineStr"/>
      <c r="E62" s="2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29" t="inlineStr"/>
      <c r="N62" s="19" t="inlineStr"/>
      <c r="O62" s="19" t="inlineStr"/>
    </row>
    <row r="63" ht="24" customHeight="1">
      <c r="A63" s="22" t="inlineStr">
        <is>
          <t>BUG-061</t>
        </is>
      </c>
      <c r="B63" s="30" t="inlineStr"/>
      <c r="C63" s="15" t="inlineStr"/>
      <c r="D63" s="15" t="inlineStr"/>
      <c r="E63" s="30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30" t="inlineStr"/>
      <c r="N63" s="15" t="inlineStr"/>
      <c r="O63" s="15" t="inlineStr"/>
    </row>
  </sheetData>
  <autoFilter ref="A2:O63"/>
  <mergeCells count="1">
    <mergeCell ref="A1:O1"/>
  </mergeCells>
  <dataValidations count="2">
    <dataValidation sqref="E3:E63" showDropDown="0" showInputMessage="0" showErrorMessage="0" allowBlank="1" type="list">
      <formula1>"P0,P1,P2,P3"</formula1>
    </dataValidation>
    <dataValidation sqref="M3:M63" showDropDown="0" showInputMessage="0" showErrorMessage="0" allowBlank="1" type="list">
      <formula1>"Open,Fixing,Fixed,Ready for Retest,Closed,Not a Bug"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</cols>
  <sheetData>
    <row r="1" ht="35" customHeight="1">
      <c r="A1" s="1" t="inlineStr">
        <is>
          <t>AIVI CAREER &amp; CAMPUS OS — TESTING PROGRESS DASHBOARD &amp; DAILY LOG</t>
        </is>
      </c>
    </row>
    <row r="3">
      <c r="A3" s="2" t="inlineStr">
        <is>
          <t>1. Intern Daily Testing Execution Log</t>
        </is>
      </c>
    </row>
    <row r="4" ht="28" customHeight="1">
      <c r="A4" s="4" t="inlineStr">
        <is>
          <t>Date</t>
        </is>
      </c>
      <c r="B4" s="4" t="inlineStr">
        <is>
          <t>Intern Name</t>
        </is>
      </c>
      <c r="C4" s="4" t="inlineStr">
        <is>
          <t>Suite(s) Worked</t>
        </is>
      </c>
      <c r="D4" s="4" t="inlineStr">
        <is>
          <t>TCs Executed</t>
        </is>
      </c>
      <c r="E4" s="4" t="inlineStr">
        <is>
          <t>Passed</t>
        </is>
      </c>
      <c r="F4" s="4" t="inlineStr">
        <is>
          <t>Failed</t>
        </is>
      </c>
      <c r="G4" s="4" t="inlineStr">
        <is>
          <t>Blocked</t>
        </is>
      </c>
      <c r="H4" s="4" t="inlineStr">
        <is>
          <t>Bugs Filed (IDs)</t>
        </is>
      </c>
      <c r="I4" s="4" t="inlineStr">
        <is>
          <t>Blockers / Daily Notes</t>
        </is>
      </c>
    </row>
    <row r="5" ht="20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0" customHeight="1">
      <c r="A6" s="31" t="inlineStr"/>
      <c r="B6" s="31" t="inlineStr"/>
      <c r="C6" s="31" t="inlineStr"/>
      <c r="D6" s="31" t="inlineStr"/>
      <c r="E6" s="31" t="inlineStr"/>
      <c r="F6" s="31" t="inlineStr"/>
      <c r="G6" s="31" t="inlineStr"/>
      <c r="H6" s="31" t="inlineStr"/>
      <c r="I6" s="31" t="inlineStr"/>
    </row>
    <row r="7" ht="20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20" customHeight="1">
      <c r="A8" s="31" t="inlineStr"/>
      <c r="B8" s="31" t="inlineStr"/>
      <c r="C8" s="31" t="inlineStr"/>
      <c r="D8" s="31" t="inlineStr"/>
      <c r="E8" s="31" t="inlineStr"/>
      <c r="F8" s="31" t="inlineStr"/>
      <c r="G8" s="31" t="inlineStr"/>
      <c r="H8" s="31" t="inlineStr"/>
      <c r="I8" s="31" t="inlineStr"/>
    </row>
    <row r="9" ht="20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0" customHeight="1">
      <c r="A10" s="31" t="inlineStr"/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  <c r="I10" s="31" t="inlineStr"/>
    </row>
    <row r="11" ht="20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20" customHeight="1">
      <c r="A12" s="31" t="inlineStr"/>
      <c r="B12" s="31" t="inlineStr"/>
      <c r="C12" s="31" t="inlineStr"/>
      <c r="D12" s="31" t="inlineStr"/>
      <c r="E12" s="31" t="inlineStr"/>
      <c r="F12" s="31" t="inlineStr"/>
      <c r="G12" s="31" t="inlineStr"/>
      <c r="H12" s="31" t="inlineStr"/>
      <c r="I12" s="31" t="inlineStr"/>
    </row>
    <row r="13" ht="20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  <row r="14" ht="20" customHeight="1">
      <c r="A14" s="31" t="inlineStr"/>
      <c r="B14" s="31" t="inlineStr"/>
      <c r="C14" s="31" t="inlineStr"/>
      <c r="D14" s="31" t="inlineStr"/>
      <c r="E14" s="31" t="inlineStr"/>
      <c r="F14" s="31" t="inlineStr"/>
      <c r="G14" s="31" t="inlineStr"/>
      <c r="H14" s="31" t="inlineStr"/>
      <c r="I14" s="31" t="inlineStr"/>
    </row>
    <row r="15" ht="20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</row>
    <row r="16" ht="20" customHeight="1">
      <c r="A16" s="31" t="inlineStr"/>
      <c r="B16" s="31" t="inlineStr"/>
      <c r="C16" s="31" t="inlineStr"/>
      <c r="D16" s="31" t="inlineStr"/>
      <c r="E16" s="31" t="inlineStr"/>
      <c r="F16" s="31" t="inlineStr"/>
      <c r="G16" s="31" t="inlineStr"/>
      <c r="H16" s="31" t="inlineStr"/>
      <c r="I16" s="31" t="inlineStr"/>
    </row>
    <row r="17" ht="20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</row>
    <row r="18" ht="20" customHeight="1">
      <c r="A18" s="31" t="inlineStr"/>
      <c r="B18" s="31" t="inlineStr"/>
      <c r="C18" s="31" t="inlineStr"/>
      <c r="D18" s="31" t="inlineStr"/>
      <c r="E18" s="31" t="inlineStr"/>
      <c r="F18" s="31" t="inlineStr"/>
      <c r="G18" s="31" t="inlineStr"/>
      <c r="H18" s="31" t="inlineStr"/>
      <c r="I18" s="31" t="inlineStr"/>
    </row>
    <row r="19" ht="20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</row>
    <row r="22">
      <c r="A22" s="2" t="inlineStr">
        <is>
          <t>2. Automated Test Execution Progress Dashboard (Computed via Live Formulas)</t>
        </is>
      </c>
    </row>
    <row r="23" ht="26" customHeight="1">
      <c r="A23" s="11" t="inlineStr">
        <is>
          <t>Suite Name</t>
        </is>
      </c>
      <c r="B23" s="11" t="inlineStr">
        <is>
          <t>Suite Description</t>
        </is>
      </c>
      <c r="C23" s="11" t="inlineStr">
        <is>
          <t>Total TCs</t>
        </is>
      </c>
      <c r="D23" s="11" t="inlineStr">
        <is>
          <t>Passed</t>
        </is>
      </c>
      <c r="E23" s="11" t="inlineStr">
        <is>
          <t>Failed</t>
        </is>
      </c>
      <c r="F23" s="11" t="inlineStr">
        <is>
          <t>Blocked</t>
        </is>
      </c>
      <c r="G23" s="11" t="inlineStr">
        <is>
          <t>Not Run</t>
        </is>
      </c>
      <c r="H23" s="11" t="inlineStr">
        <is>
          <t>% Complete</t>
        </is>
      </c>
      <c r="I23" s="11" t="inlineStr">
        <is>
          <t>Gate Readiness Status</t>
        </is>
      </c>
    </row>
    <row r="24" ht="22" customHeight="1">
      <c r="A24" s="32" t="inlineStr">
        <is>
          <t>S00</t>
        </is>
      </c>
      <c r="B24" s="33" t="inlineStr">
        <is>
          <t>Daily Production Environment Smoke Suite</t>
        </is>
      </c>
      <c r="C24" s="32">
        <f>COUNTIF('Test Suites — Master'!$B$3:$B$200, "S00 — PRODUCTION SMOKE")</f>
        <v/>
      </c>
      <c r="D24" s="32">
        <f>COUNTIFS('Test Suites — Master'!$B$3:$B$200, "S00 — PRODUCTION SMOKE", 'Test Suites — Master'!$L$3:$L$200, "Pass")</f>
        <v/>
      </c>
      <c r="E24" s="32">
        <f>COUNTIFS('Test Suites — Master'!$B$3:$B$200, "S00 — PRODUCTION SMOKE", 'Test Suites — Master'!$L$3:$L$200, "Fail")</f>
        <v/>
      </c>
      <c r="F24" s="32">
        <f>COUNTIFS('Test Suites — Master'!$B$3:$B$200, "S00 — PRODUCTION SMOKE", 'Test Suites — Master'!$L$3:$L$200, "Blocked")</f>
        <v/>
      </c>
      <c r="G24" s="32">
        <f>COUNTIFS('Test Suites — Master'!$B$3:$B$200, "S00 — PRODUCTION SMOKE", 'Test Suites — Master'!$L$3:$L$200, "Not Run")</f>
        <v/>
      </c>
      <c r="H24" s="34">
        <f>IF(C24&gt;0, (D24+E24+F24)/C24, 0)</f>
        <v/>
      </c>
      <c r="I24" s="32">
        <f>IF(D24=C24, "READY", IF(E24&gt;0, "FAILURES PRESENT", "IN PROGRESS"))</f>
        <v/>
      </c>
    </row>
    <row r="25" ht="22" customHeight="1">
      <c r="A25" s="35" t="inlineStr">
        <is>
          <t>S01</t>
        </is>
      </c>
      <c r="B25" s="36" t="inlineStr">
        <is>
          <t>Authentication, Signup, Verification, SSO &amp; Reset</t>
        </is>
      </c>
      <c r="C25" s="35">
        <f>COUNTIF('Test Suites — Master'!$B$3:$B$200, "S01 — AUTH &amp; ONBOARDING")</f>
        <v/>
      </c>
      <c r="D25" s="35">
        <f>COUNTIFS('Test Suites — Master'!$B$3:$B$200, "S01 — AUTH &amp; ONBOARDING", 'Test Suites — Master'!$L$3:$L$200, "Pass")</f>
        <v/>
      </c>
      <c r="E25" s="35">
        <f>COUNTIFS('Test Suites — Master'!$B$3:$B$200, "S01 — AUTH &amp; ONBOARDING", 'Test Suites — Master'!$L$3:$L$200, "Fail")</f>
        <v/>
      </c>
      <c r="F25" s="35">
        <f>COUNTIFS('Test Suites — Master'!$B$3:$B$200, "S01 — AUTH &amp; ONBOARDING", 'Test Suites — Master'!$L$3:$L$200, "Blocked")</f>
        <v/>
      </c>
      <c r="G25" s="35">
        <f>COUNTIFS('Test Suites — Master'!$B$3:$B$200, "S01 — AUTH &amp; ONBOARDING", 'Test Suites — Master'!$L$3:$L$200, "Not Run")</f>
        <v/>
      </c>
      <c r="H25" s="37">
        <f>IF(C25&gt;0, (D25+E25+F25)/C25, 0)</f>
        <v/>
      </c>
      <c r="I25" s="35">
        <f>IF(D25=C25, "READY", IF(E25&gt;0, "FAILURES PRESENT", "IN PROGRESS"))</f>
        <v/>
      </c>
    </row>
    <row r="26" ht="22" customHeight="1">
      <c r="A26" s="32" t="inlineStr">
        <is>
          <t>S02</t>
        </is>
      </c>
      <c r="B26" s="33" t="inlineStr">
        <is>
          <t>8 B2C SaaS AI Career Analysis Tools &amp; Limits</t>
        </is>
      </c>
      <c r="C26" s="32">
        <f>COUNTIF('Test Suites — Master'!$B$3:$B$200, "S02 — B2C MODULES")</f>
        <v/>
      </c>
      <c r="D26" s="32">
        <f>COUNTIFS('Test Suites — Master'!$B$3:$B$200, "S02 — B2C MODULES", 'Test Suites — Master'!$L$3:$L$200, "Pass")</f>
        <v/>
      </c>
      <c r="E26" s="32">
        <f>COUNTIFS('Test Suites — Master'!$B$3:$B$200, "S02 — B2C MODULES", 'Test Suites — Master'!$L$3:$L$200, "Fail")</f>
        <v/>
      </c>
      <c r="F26" s="32">
        <f>COUNTIFS('Test Suites — Master'!$B$3:$B$200, "S02 — B2C MODULES", 'Test Suites — Master'!$L$3:$L$200, "Blocked")</f>
        <v/>
      </c>
      <c r="G26" s="32">
        <f>COUNTIFS('Test Suites — Master'!$B$3:$B$200, "S02 — B2C MODULES", 'Test Suites — Master'!$L$3:$L$200, "Not Run")</f>
        <v/>
      </c>
      <c r="H26" s="34">
        <f>IF(C26&gt;0, (D26+E26+F26)/C26, 0)</f>
        <v/>
      </c>
      <c r="I26" s="32">
        <f>IF(D26=C26, "READY", IF(E26&gt;0, "FAILURES PRESENT", "IN PROGRESS"))</f>
        <v/>
      </c>
    </row>
    <row r="27" ht="22" customHeight="1">
      <c r="A27" s="35" t="inlineStr">
        <is>
          <t>S03</t>
        </is>
      </c>
      <c r="B27" s="36" t="inlineStr">
        <is>
          <t>Razorpay Order Creation, Checkout &amp; Plan Updates (Founder Live Only)</t>
        </is>
      </c>
      <c r="C27" s="35">
        <f>COUNTIF('Test Suites — Master'!$B$3:$B$200, "S03 — PAYMENTS LIVE-MODE")</f>
        <v/>
      </c>
      <c r="D27" s="35">
        <f>COUNTIFS('Test Suites — Master'!$B$3:$B$200, "S03 — PAYMENTS LIVE-MODE", 'Test Suites — Master'!$L$3:$L$200, "Pass")</f>
        <v/>
      </c>
      <c r="E27" s="35">
        <f>COUNTIFS('Test Suites — Master'!$B$3:$B$200, "S03 — PAYMENTS LIVE-MODE", 'Test Suites — Master'!$L$3:$L$200, "Fail")</f>
        <v/>
      </c>
      <c r="F27" s="35">
        <f>COUNTIFS('Test Suites — Master'!$B$3:$B$200, "S03 — PAYMENTS LIVE-MODE", 'Test Suites — Master'!$L$3:$L$200, "Blocked")</f>
        <v/>
      </c>
      <c r="G27" s="35">
        <f>COUNTIFS('Test Suites — Master'!$B$3:$B$200, "S03 — PAYMENTS LIVE-MODE", 'Test Suites — Master'!$L$3:$L$200, "Not Run")</f>
        <v/>
      </c>
      <c r="H27" s="37">
        <f>IF(C27&gt;0, (D27+E27+F27)/C27, 0)</f>
        <v/>
      </c>
      <c r="I27" s="35">
        <f>IF(D27=C27, "READY", IF(E27&gt;0, "FAILURES PRESENT", "IN PROGRESS"))</f>
        <v/>
      </c>
    </row>
    <row r="28" ht="22" customHeight="1">
      <c r="A28" s="32" t="inlineStr">
        <is>
          <t>S04</t>
        </is>
      </c>
      <c r="B28" s="33" t="inlineStr">
        <is>
          <t>Platform Admin Console, Provisioning &amp; Seeder</t>
        </is>
      </c>
      <c r="C28" s="32">
        <f>COUNTIF('Test Suites — Master'!$B$3:$B$200, "S04 — CAMPUS PLATFORM ADMIN")</f>
        <v/>
      </c>
      <c r="D28" s="32">
        <f>COUNTIFS('Test Suites — Master'!$B$3:$B$200, "S04 — CAMPUS PLATFORM ADMIN", 'Test Suites — Master'!$L$3:$L$200, "Pass")</f>
        <v/>
      </c>
      <c r="E28" s="32">
        <f>COUNTIFS('Test Suites — Master'!$B$3:$B$200, "S04 — CAMPUS PLATFORM ADMIN", 'Test Suites — Master'!$L$3:$L$200, "Fail")</f>
        <v/>
      </c>
      <c r="F28" s="32">
        <f>COUNTIFS('Test Suites — Master'!$B$3:$B$200, "S04 — CAMPUS PLATFORM ADMIN", 'Test Suites — Master'!$L$3:$L$200, "Blocked")</f>
        <v/>
      </c>
      <c r="G28" s="32">
        <f>COUNTIFS('Test Suites — Master'!$B$3:$B$200, "S04 — CAMPUS PLATFORM ADMIN", 'Test Suites — Master'!$L$3:$L$200, "Not Run")</f>
        <v/>
      </c>
      <c r="H28" s="34">
        <f>IF(C28&gt;0, (D28+E28+F28)/C28, 0)</f>
        <v/>
      </c>
      <c r="I28" s="32">
        <f>IF(D28=C28, "READY", IF(E28&gt;0, "FAILURES PRESENT", "IN PROGRESS"))</f>
        <v/>
      </c>
    </row>
    <row r="29" ht="22" customHeight="1">
      <c r="A29" s="35" t="inlineStr">
        <is>
          <t>S05</t>
        </is>
      </c>
      <c r="B29" s="36" t="inlineStr">
        <is>
          <t>Campus TPO Dashboard, Drives, CSV Import &amp; Vault</t>
        </is>
      </c>
      <c r="C29" s="35">
        <f>COUNTIF('Test Suites — Master'!$B$3:$B$200, "S05 — CAMPUS TPO &amp; STAFF")</f>
        <v/>
      </c>
      <c r="D29" s="35">
        <f>COUNTIFS('Test Suites — Master'!$B$3:$B$200, "S05 — CAMPUS TPO &amp; STAFF", 'Test Suites — Master'!$L$3:$L$200, "Pass")</f>
        <v/>
      </c>
      <c r="E29" s="35">
        <f>COUNTIFS('Test Suites — Master'!$B$3:$B$200, "S05 — CAMPUS TPO &amp; STAFF", 'Test Suites — Master'!$L$3:$L$200, "Fail")</f>
        <v/>
      </c>
      <c r="F29" s="35">
        <f>COUNTIFS('Test Suites — Master'!$B$3:$B$200, "S05 — CAMPUS TPO &amp; STAFF", 'Test Suites — Master'!$L$3:$L$200, "Blocked")</f>
        <v/>
      </c>
      <c r="G29" s="35">
        <f>COUNTIFS('Test Suites — Master'!$B$3:$B$200, "S05 — CAMPUS TPO &amp; STAFF", 'Test Suites — Master'!$L$3:$L$200, "Not Run")</f>
        <v/>
      </c>
      <c r="H29" s="37">
        <f>IF(C29&gt;0, (D29+E29+F29)/C29, 0)</f>
        <v/>
      </c>
      <c r="I29" s="35">
        <f>IF(D29=C29, "READY", IF(E29&gt;0, "FAILURES PRESENT", "IN PROGRESS"))</f>
        <v/>
      </c>
    </row>
    <row r="30" ht="22" customHeight="1">
      <c r="A30" s="32" t="inlineStr">
        <is>
          <t>S06</t>
        </is>
      </c>
      <c r="B30" s="33" t="inlineStr">
        <is>
          <t>Coordinator Branch-Scoped Access Control</t>
        </is>
      </c>
      <c r="C30" s="32">
        <f>COUNTIF('Test Suites — Master'!$B$3:$B$200, "S06 — COORDINATOR BRANCH SCOPE")</f>
        <v/>
      </c>
      <c r="D30" s="32">
        <f>COUNTIFS('Test Suites — Master'!$B$3:$B$200, "S06 — COORDINATOR BRANCH SCOPE", 'Test Suites — Master'!$L$3:$L$200, "Pass")</f>
        <v/>
      </c>
      <c r="E30" s="32">
        <f>COUNTIFS('Test Suites — Master'!$B$3:$B$200, "S06 — COORDINATOR BRANCH SCOPE", 'Test Suites — Master'!$L$3:$L$200, "Fail")</f>
        <v/>
      </c>
      <c r="F30" s="32">
        <f>COUNTIFS('Test Suites — Master'!$B$3:$B$200, "S06 — COORDINATOR BRANCH SCOPE", 'Test Suites — Master'!$L$3:$L$200, "Blocked")</f>
        <v/>
      </c>
      <c r="G30" s="32">
        <f>COUNTIFS('Test Suites — Master'!$B$3:$B$200, "S06 — COORDINATOR BRANCH SCOPE", 'Test Suites — Master'!$L$3:$L$200, "Not Run")</f>
        <v/>
      </c>
      <c r="H30" s="34">
        <f>IF(C30&gt;0, (D30+E30+F30)/C30, 0)</f>
        <v/>
      </c>
      <c r="I30" s="32">
        <f>IF(D30=C30, "READY", IF(E30&gt;0, "FAILURES PRESENT", "IN PROGRESS"))</f>
        <v/>
      </c>
    </row>
    <row r="31" ht="22" customHeight="1">
      <c r="A31" s="35" t="inlineStr">
        <is>
          <t>S07</t>
        </is>
      </c>
      <c r="B31" s="36" t="inlineStr">
        <is>
          <t>Campus Student Portal, DPDP &amp; Vernacular Voice</t>
        </is>
      </c>
      <c r="C31" s="35">
        <f>COUNTIF('Test Suites — Master'!$B$3:$B$200, "S07 — CAMPUS STUDENT")</f>
        <v/>
      </c>
      <c r="D31" s="35">
        <f>COUNTIFS('Test Suites — Master'!$B$3:$B$200, "S07 — CAMPUS STUDENT", 'Test Suites — Master'!$L$3:$L$200, "Pass")</f>
        <v/>
      </c>
      <c r="E31" s="35">
        <f>COUNTIFS('Test Suites — Master'!$B$3:$B$200, "S07 — CAMPUS STUDENT", 'Test Suites — Master'!$L$3:$L$200, "Fail")</f>
        <v/>
      </c>
      <c r="F31" s="35">
        <f>COUNTIFS('Test Suites — Master'!$B$3:$B$200, "S07 — CAMPUS STUDENT", 'Test Suites — Master'!$L$3:$L$200, "Blocked")</f>
        <v/>
      </c>
      <c r="G31" s="35">
        <f>COUNTIFS('Test Suites — Master'!$B$3:$B$200, "S07 — CAMPUS STUDENT", 'Test Suites — Master'!$L$3:$L$200, "Not Run")</f>
        <v/>
      </c>
      <c r="H31" s="37">
        <f>IF(C31&gt;0, (D31+E31+F31)/C31, 0)</f>
        <v/>
      </c>
      <c r="I31" s="35">
        <f>IF(D31=C31, "READY", IF(E31&gt;0, "FAILURES PRESENT", "IN PROGRESS"))</f>
        <v/>
      </c>
    </row>
    <row r="32" ht="22" customHeight="1">
      <c r="A32" s="32" t="inlineStr">
        <is>
          <t>S08</t>
        </is>
      </c>
      <c r="B32" s="33" t="inlineStr">
        <is>
          <t>Public Marketing Pages, SEO Landing &amp; Contact</t>
        </is>
      </c>
      <c r="C32" s="32">
        <f>COUNTIF('Test Suites — Master'!$B$3:$B$200, "S08 — PUBLIC &amp; MARKETING")</f>
        <v/>
      </c>
      <c r="D32" s="32">
        <f>COUNTIFS('Test Suites — Master'!$B$3:$B$200, "S08 — PUBLIC &amp; MARKETING", 'Test Suites — Master'!$L$3:$L$200, "Pass")</f>
        <v/>
      </c>
      <c r="E32" s="32">
        <f>COUNTIFS('Test Suites — Master'!$B$3:$B$200, "S08 — PUBLIC &amp; MARKETING", 'Test Suites — Master'!$L$3:$L$200, "Fail")</f>
        <v/>
      </c>
      <c r="F32" s="32">
        <f>COUNTIFS('Test Suites — Master'!$B$3:$B$200, "S08 — PUBLIC &amp; MARKETING", 'Test Suites — Master'!$L$3:$L$200, "Blocked")</f>
        <v/>
      </c>
      <c r="G32" s="32">
        <f>COUNTIFS('Test Suites — Master'!$B$3:$B$200, "S08 — PUBLIC &amp; MARKETING", 'Test Suites — Master'!$L$3:$L$200, "Not Run")</f>
        <v/>
      </c>
      <c r="H32" s="34">
        <f>IF(C32&gt;0, (D32+E32+F32)/C32, 0)</f>
        <v/>
      </c>
      <c r="I32" s="32">
        <f>IF(D32=C32, "READY", IF(E32&gt;0, "FAILURES PRESENT", "IN PROGRESS"))</f>
        <v/>
      </c>
    </row>
    <row r="33" ht="22" customHeight="1">
      <c r="A33" s="35" t="inlineStr">
        <is>
          <t>S09</t>
        </is>
      </c>
      <c r="B33" s="36" t="inlineStr">
        <is>
          <t>Route Guards, Storage Rules &amp; Header Security</t>
        </is>
      </c>
      <c r="C33" s="35">
        <f>COUNTIF('Test Suites — Master'!$B$3:$B$200, "S09 — SECURITY GUARDS &amp; PERMISSIONS")</f>
        <v/>
      </c>
      <c r="D33" s="35">
        <f>COUNTIFS('Test Suites — Master'!$B$3:$B$200, "S09 — SECURITY GUARDS &amp; PERMISSIONS", 'Test Suites — Master'!$L$3:$L$200, "Pass")</f>
        <v/>
      </c>
      <c r="E33" s="35">
        <f>COUNTIFS('Test Suites — Master'!$B$3:$B$200, "S09 — SECURITY GUARDS &amp; PERMISSIONS", 'Test Suites — Master'!$L$3:$L$200, "Fail")</f>
        <v/>
      </c>
      <c r="F33" s="35">
        <f>COUNTIFS('Test Suites — Master'!$B$3:$B$200, "S09 — SECURITY GUARDS &amp; PERMISSIONS", 'Test Suites — Master'!$L$3:$L$200, "Blocked")</f>
        <v/>
      </c>
      <c r="G33" s="35">
        <f>COUNTIFS('Test Suites — Master'!$B$3:$B$200, "S09 — SECURITY GUARDS &amp; PERMISSIONS", 'Test Suites — Master'!$L$3:$L$200, "Not Run")</f>
        <v/>
      </c>
      <c r="H33" s="37">
        <f>IF(C33&gt;0, (D33+E33+F33)/C33, 0)</f>
        <v/>
      </c>
      <c r="I33" s="35">
        <f>IF(D33=C33, "READY", IF(E33&gt;0, "FAILURES PRESENT", "IN PROGRESS"))</f>
        <v/>
      </c>
    </row>
    <row r="34" ht="22" customHeight="1">
      <c r="A34" s="32" t="inlineStr">
        <is>
          <t>S10</t>
        </is>
      </c>
      <c r="B34" s="33" t="inlineStr">
        <is>
          <t>Production Environment Read-Only Smoke Suite</t>
        </is>
      </c>
      <c r="C34" s="32">
        <f>COUNTIF('Test Suites — Master'!$B$3:$B$200, "S10 — PRODUCTION READ-ONLY SMOKE")</f>
        <v/>
      </c>
      <c r="D34" s="32">
        <f>COUNTIFS('Test Suites — Master'!$B$3:$B$200, "S10 — PRODUCTION READ-ONLY SMOKE", 'Test Suites — Master'!$L$3:$L$200, "Pass")</f>
        <v/>
      </c>
      <c r="E34" s="32">
        <f>COUNTIFS('Test Suites — Master'!$B$3:$B$200, "S10 — PRODUCTION READ-ONLY SMOKE", 'Test Suites — Master'!$L$3:$L$200, "Fail")</f>
        <v/>
      </c>
      <c r="F34" s="32">
        <f>COUNTIFS('Test Suites — Master'!$B$3:$B$200, "S10 — PRODUCTION READ-ONLY SMOKE", 'Test Suites — Master'!$L$3:$L$200, "Blocked")</f>
        <v/>
      </c>
      <c r="G34" s="32">
        <f>COUNTIFS('Test Suites — Master'!$B$3:$B$200, "S10 — PRODUCTION READ-ONLY SMOKE", 'Test Suites — Master'!$L$3:$L$200, "Not Run")</f>
        <v/>
      </c>
      <c r="H34" s="34">
        <f>IF(C34&gt;0, (D34+E34+F34)/C34, 0)</f>
        <v/>
      </c>
      <c r="I34" s="32">
        <f>IF(D34=C34, "READY", IF(E34&gt;0, "FAILURES PRESENT", "IN PROGRESS"))</f>
        <v/>
      </c>
    </row>
    <row r="35" ht="22" customHeight="1">
      <c r="A35" s="35" t="inlineStr">
        <is>
          <t>S11</t>
        </is>
      </c>
      <c r="B35" s="36" t="inlineStr">
        <is>
          <t>Responsiveness, Contrast &amp; Regression Spot-Checks</t>
        </is>
      </c>
      <c r="C35" s="35">
        <f>COUNTIF('Test Suites — Master'!$B$3:$B$200, "S11 — CROSS-CUTTING &amp; REGRESSION SPOT CHECKS")</f>
        <v/>
      </c>
      <c r="D35" s="35">
        <f>COUNTIFS('Test Suites — Master'!$B$3:$B$200, "S11 — CROSS-CUTTING &amp; REGRESSION SPOT CHECKS", 'Test Suites — Master'!$L$3:$L$200, "Pass")</f>
        <v/>
      </c>
      <c r="E35" s="35">
        <f>COUNTIFS('Test Suites — Master'!$B$3:$B$200, "S11 — CROSS-CUTTING &amp; REGRESSION SPOT CHECKS", 'Test Suites — Master'!$L$3:$L$200, "Fail")</f>
        <v/>
      </c>
      <c r="F35" s="35">
        <f>COUNTIFS('Test Suites — Master'!$B$3:$B$200, "S11 — CROSS-CUTTING &amp; REGRESSION SPOT CHECKS", 'Test Suites — Master'!$L$3:$L$200, "Blocked")</f>
        <v/>
      </c>
      <c r="G35" s="35">
        <f>COUNTIFS('Test Suites — Master'!$B$3:$B$200, "S11 — CROSS-CUTTING &amp; REGRESSION SPOT CHECKS", 'Test Suites — Master'!$L$3:$L$200, "Not Run")</f>
        <v/>
      </c>
      <c r="H35" s="37">
        <f>IF(C35&gt;0, (D35+E35+F35)/C35, 0)</f>
        <v/>
      </c>
      <c r="I35" s="35">
        <f>IF(D35=C35, "READY", IF(E35&gt;0, "FAILURES PRESENT", "IN PROGRESS"))</f>
        <v/>
      </c>
    </row>
    <row r="36" ht="24" customHeight="1">
      <c r="A36" s="38" t="inlineStr">
        <is>
          <t>OVERALL TOTALS</t>
        </is>
      </c>
      <c r="B36" s="39" t="inlineStr">
        <is>
          <t>All 12 Test Suites Combined</t>
        </is>
      </c>
      <c r="C36" s="38">
        <f>SUM(C24:C35)</f>
        <v/>
      </c>
      <c r="D36" s="38">
        <f>SUM(D24:D35)</f>
        <v/>
      </c>
      <c r="E36" s="38">
        <f>SUM(E24:E35)</f>
        <v/>
      </c>
      <c r="F36" s="38">
        <f>SUM(F24:F35)</f>
        <v/>
      </c>
      <c r="G36" s="38">
        <f>SUM(G24:G35)</f>
        <v/>
      </c>
      <c r="H36" s="40">
        <f>IF(C36&gt;0, (D36+E36+F36)/C36, 0)</f>
        <v/>
      </c>
      <c r="I36" s="38">
        <f>IF(D36=C36, "RELEASE READY", "TESTING IN PROGRESS")</f>
        <v/>
      </c>
    </row>
    <row r="39" ht="30" customHeight="1">
      <c r="A39" s="41" t="inlineStr">
        <is>
          <t>GATE 1 READY = S00–S03 100% executed, 0 open P0/P1 · GATE 2 = S04–S09 100% executed, 0 open P0 · GATE 3 = S10 read-only verified by founder</t>
        </is>
      </c>
    </row>
  </sheetData>
  <mergeCells count="2">
    <mergeCell ref="A1:I1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2026-07-23T09:07:23Z</dcterms:created>
  <dcterms:modified xmlns:dcterms="http://purl.org/dc/terms/" xmlns:xsi="http://www.w3.org/2001/XMLSchema-instance" xsi:type="dcterms:W3CDTF">2026-07-23T09:07:23Z</dcterms:modified>
</cp:coreProperties>
</file>